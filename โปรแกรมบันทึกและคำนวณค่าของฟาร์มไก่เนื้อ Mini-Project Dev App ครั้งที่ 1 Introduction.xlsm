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uanaph_/Desktop/"/>
    </mc:Choice>
  </mc:AlternateContent>
  <xr:revisionPtr revIDLastSave="0" documentId="13_ncr:1_{1C4825CB-0D6B-4442-8C56-AF698F83426A}" xr6:coauthVersionLast="47" xr6:coauthVersionMax="47" xr10:uidLastSave="{00000000-0000-0000-0000-000000000000}"/>
  <bookViews>
    <workbookView xWindow="2000" yWindow="500" windowWidth="34480" windowHeight="19860" activeTab="3" xr2:uid="{1F8C8A80-442E-4C1A-92A0-515D6093256E}"/>
  </bookViews>
  <sheets>
    <sheet name="DAILY" sheetId="20" r:id="rId1"/>
    <sheet name="HARVEST" sheetId="7" r:id="rId2"/>
    <sheet name="Calculated" sheetId="4" r:id="rId3"/>
    <sheet name="PARAMS" sheetId="8" r:id="rId4"/>
    <sheet name="DailyLog (1)" sheetId="27" r:id="rId5"/>
    <sheet name="HVLog (1)" sheetId="2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0" l="1"/>
</calcChain>
</file>

<file path=xl/sharedStrings.xml><?xml version="1.0" encoding="utf-8"?>
<sst xmlns="http://schemas.openxmlformats.org/spreadsheetml/2006/main" count="304" uniqueCount="92">
  <si>
    <t>Deaths</t>
  </si>
  <si>
    <t xml:space="preserve">  Survive</t>
  </si>
  <si>
    <t>Weight Crate</t>
  </si>
  <si>
    <t>C/Crate</t>
  </si>
  <si>
    <t>Gross</t>
  </si>
  <si>
    <t>Avg</t>
  </si>
  <si>
    <t>House</t>
  </si>
  <si>
    <t>Date</t>
  </si>
  <si>
    <t>FeedType</t>
  </si>
  <si>
    <t>BagsUsed</t>
  </si>
  <si>
    <t>Age</t>
  </si>
  <si>
    <t>Type A</t>
  </si>
  <si>
    <t>House A</t>
  </si>
  <si>
    <t xml:space="preserve">Chicken All = </t>
  </si>
  <si>
    <t>Note</t>
  </si>
  <si>
    <t>House B =</t>
  </si>
  <si>
    <t>House A =</t>
  </si>
  <si>
    <t>House B</t>
  </si>
  <si>
    <t>Type B</t>
  </si>
  <si>
    <t>Type C</t>
  </si>
  <si>
    <t>ต้องรู้วันที่จะสั่งอาหารก่อน</t>
  </si>
  <si>
    <t>รู้ว่าอาหารหนักกระสอบละ 40-60 กก.</t>
  </si>
  <si>
    <t>ค่ามาตรฐานอายุของไก่กับนน.อาหาร</t>
  </si>
  <si>
    <t>~ 28.5 g</t>
  </si>
  <si>
    <t>~ 28.0 g</t>
  </si>
  <si>
    <t>~ 30 g</t>
  </si>
  <si>
    <t>~ 33 g</t>
  </si>
  <si>
    <t>~ 36 g</t>
  </si>
  <si>
    <t>~ 39 g</t>
  </si>
  <si>
    <t>~ 41 g</t>
  </si>
  <si>
    <t>~ 44 g</t>
  </si>
  <si>
    <t>~ 47 g</t>
  </si>
  <si>
    <t>~ 50 g</t>
  </si>
  <si>
    <t>~ 53 g</t>
  </si>
  <si>
    <t>~ 56 g</t>
  </si>
  <si>
    <t>~ 59 g</t>
  </si>
  <si>
    <t>~ 62 g</t>
  </si>
  <si>
    <t>~ 65 g</t>
  </si>
  <si>
    <t>~ 68 g</t>
  </si>
  <si>
    <t>~ 71 g</t>
  </si>
  <si>
    <t>~ 75 g</t>
  </si>
  <si>
    <t>~ 80 g</t>
  </si>
  <si>
    <t>~ 85 g</t>
  </si>
  <si>
    <t>~ 90 g</t>
  </si>
  <si>
    <t>~ 95 g</t>
  </si>
  <si>
    <t>~ 100 g</t>
  </si>
  <si>
    <t>~ 105 g</t>
  </si>
  <si>
    <t>~ 110 g</t>
  </si>
  <si>
    <t>~ 115 g</t>
  </si>
  <si>
    <t>~ 120 g</t>
  </si>
  <si>
    <t>กรัม</t>
  </si>
  <si>
    <t>วัน</t>
  </si>
  <si>
    <t>~ 14 g</t>
  </si>
  <si>
    <t>~ 16 g</t>
  </si>
  <si>
    <t>~ 20 g</t>
  </si>
  <si>
    <t>~ 26 g</t>
  </si>
  <si>
    <t>~ 24 g</t>
  </si>
  <si>
    <t>~ 22 g</t>
  </si>
  <si>
    <t>วันอาทิตย์ = I =</t>
  </si>
  <si>
    <t>Used_A</t>
  </si>
  <si>
    <t>Used_B</t>
  </si>
  <si>
    <t>Used_C</t>
  </si>
  <si>
    <t>HouseA_Used</t>
  </si>
  <si>
    <t>HouseB_Used</t>
  </si>
  <si>
    <t>Survivors</t>
  </si>
  <si>
    <t>Order_A</t>
  </si>
  <si>
    <t>Order_B</t>
  </si>
  <si>
    <t>Order_C</t>
  </si>
  <si>
    <t>Cum_Used_A</t>
  </si>
  <si>
    <t>Cum_Used_B</t>
  </si>
  <si>
    <t>Cum_Used_C</t>
  </si>
  <si>
    <t>7D_MA_TotalUsed</t>
  </si>
  <si>
    <t>Stock_A</t>
  </si>
  <si>
    <t>Stock_B</t>
  </si>
  <si>
    <t>Stock_C</t>
  </si>
  <si>
    <t>Phase</t>
  </si>
  <si>
    <t>Avg_Daily_Used</t>
  </si>
  <si>
    <t>Order_Age</t>
  </si>
  <si>
    <t>Gap_From_Prev</t>
  </si>
  <si>
    <t>Total_Ordered</t>
  </si>
  <si>
    <t>Total_Used</t>
  </si>
  <si>
    <t>Type A 200 + Type B 0 + Type C 0</t>
  </si>
  <si>
    <t>Type A 183 + Type B 0 + Type C 0</t>
  </si>
  <si>
    <t>Type A 217 + Type B 0 + Type C 0</t>
  </si>
  <si>
    <t>Type A 98 + Type B 98 + Type C 0</t>
  </si>
  <si>
    <t>Type A 102 + Type B 102 + Type C 0</t>
  </si>
  <si>
    <t>Type A 0 + Type B 204 + Type C 0</t>
  </si>
  <si>
    <t>Type A 0 + Type B 196 + Type C 0</t>
  </si>
  <si>
    <t>Type A 0 + Type B 102 + Type C 102</t>
  </si>
  <si>
    <t>Type A 0 + Type B 98 + Type C 98</t>
  </si>
  <si>
    <t>Type A 0 + Type B 0 + Type C 206</t>
  </si>
  <si>
    <t>Type A 0 + Type B 0 + Type C 194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</si>
</sst>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>
    <font>
      <sz val="11"/>
      <color theme="1"/>
      <name val="Aptos Narrow"/>
      <family val="2"/>
      <scheme val="minor"/>
    </font>
    <font>
      <sz val="11"/>
      <color theme="1"/>
      <name val="Segoe MDL2 Assets"/>
      <family val="1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</font>
    <font>
      <sz val="24"/>
      <color rgb="FF000000"/>
      <name val="Segoe UI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1" applyAlignment="1">
      <alignment vertical="center" wrapText="1"/>
    </xf>
    <xf numFmtId="1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2" fillId="0" borderId="1" xfId="0" applyFont="1" applyBorder="1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14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Feed Used by Type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PARAMS!$A$1</c:f>
              <c:strCache>
                <c:ptCount val="1"/>
                <c:pt idx="0">
                  <c:v>Age</c:v>
                </c:pt>
              </c:strCache>
            </c:strRef>
          </c:tx>
          <c:invertIfNegative val="0"/>
          <c:val>
            <c:numRef>
              <c:f>PARAMS!$A$2:$A$43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3-3C4F-851B-2BA954E90DDA}"/>
            </c:ext>
          </c:extLst>
        </c:ser>
        <c:ser>
          <c:idx val="1"/>
          <c:order val="1"/>
          <c:tx>
            <c:strRef>
              <c:f>PARAMS!$B$1</c:f>
              <c:strCache>
                <c:ptCount val="1"/>
                <c:pt idx="0">
                  <c:v>Used_A</c:v>
                </c:pt>
              </c:strCache>
            </c:strRef>
          </c:tx>
          <c:invertIfNegative val="0"/>
          <c:val>
            <c:numRef>
              <c:f>PARAMS!$B$2:$B$43</c:f>
              <c:numCache>
                <c:formatCode>General</c:formatCode>
                <c:ptCount val="42"/>
                <c:pt idx="0">
                  <c:v>38</c:v>
                </c:pt>
                <c:pt idx="1">
                  <c:v>35</c:v>
                </c:pt>
                <c:pt idx="2">
                  <c:v>37</c:v>
                </c:pt>
                <c:pt idx="3">
                  <c:v>32</c:v>
                </c:pt>
                <c:pt idx="4">
                  <c:v>31</c:v>
                </c:pt>
                <c:pt idx="5">
                  <c:v>36</c:v>
                </c:pt>
                <c:pt idx="6">
                  <c:v>34</c:v>
                </c:pt>
                <c:pt idx="7">
                  <c:v>36</c:v>
                </c:pt>
                <c:pt idx="8">
                  <c:v>35</c:v>
                </c:pt>
                <c:pt idx="9">
                  <c:v>34</c:v>
                </c:pt>
                <c:pt idx="10">
                  <c:v>40</c:v>
                </c:pt>
                <c:pt idx="11">
                  <c:v>34</c:v>
                </c:pt>
                <c:pt idx="12">
                  <c:v>42</c:v>
                </c:pt>
                <c:pt idx="13">
                  <c:v>49</c:v>
                </c:pt>
                <c:pt idx="14">
                  <c:v>42</c:v>
                </c:pt>
                <c:pt idx="15">
                  <c:v>58</c:v>
                </c:pt>
                <c:pt idx="16">
                  <c:v>43</c:v>
                </c:pt>
                <c:pt idx="17">
                  <c:v>38</c:v>
                </c:pt>
                <c:pt idx="18">
                  <c:v>29</c:v>
                </c:pt>
                <c:pt idx="19">
                  <c:v>36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D3-3C4F-851B-2BA954E90DDA}"/>
            </c:ext>
          </c:extLst>
        </c:ser>
        <c:ser>
          <c:idx val="2"/>
          <c:order val="2"/>
          <c:tx>
            <c:strRef>
              <c:f>PARAMS!$C$1</c:f>
              <c:strCache>
                <c:ptCount val="1"/>
                <c:pt idx="0">
                  <c:v>Used_B</c:v>
                </c:pt>
              </c:strCache>
            </c:strRef>
          </c:tx>
          <c:invertIfNegative val="0"/>
          <c:val>
            <c:numRef>
              <c:f>PARAMS!$C$2:$C$43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47</c:v>
                </c:pt>
                <c:pt idx="21">
                  <c:v>24</c:v>
                </c:pt>
                <c:pt idx="22">
                  <c:v>34</c:v>
                </c:pt>
                <c:pt idx="23">
                  <c:v>37</c:v>
                </c:pt>
                <c:pt idx="24">
                  <c:v>37</c:v>
                </c:pt>
                <c:pt idx="25">
                  <c:v>43</c:v>
                </c:pt>
                <c:pt idx="26">
                  <c:v>37</c:v>
                </c:pt>
                <c:pt idx="27">
                  <c:v>38</c:v>
                </c:pt>
                <c:pt idx="28">
                  <c:v>29</c:v>
                </c:pt>
                <c:pt idx="29">
                  <c:v>30</c:v>
                </c:pt>
                <c:pt idx="30">
                  <c:v>39</c:v>
                </c:pt>
                <c:pt idx="31">
                  <c:v>30</c:v>
                </c:pt>
                <c:pt idx="32">
                  <c:v>33</c:v>
                </c:pt>
                <c:pt idx="33">
                  <c:v>39</c:v>
                </c:pt>
                <c:pt idx="34">
                  <c:v>44</c:v>
                </c:pt>
                <c:pt idx="35">
                  <c:v>32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D3-3C4F-851B-2BA954E90DDA}"/>
            </c:ext>
          </c:extLst>
        </c:ser>
        <c:ser>
          <c:idx val="3"/>
          <c:order val="3"/>
          <c:tx>
            <c:strRef>
              <c:f>PARAMS!$D$1</c:f>
              <c:strCache>
                <c:ptCount val="1"/>
                <c:pt idx="0">
                  <c:v>Used_C</c:v>
                </c:pt>
              </c:strCache>
            </c:strRef>
          </c:tx>
          <c:invertIfNegative val="0"/>
          <c:val>
            <c:numRef>
              <c:f>PARAMS!$D$2:$D$43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34</c:v>
                </c:pt>
                <c:pt idx="37">
                  <c:v>21</c:v>
                </c:pt>
                <c:pt idx="38">
                  <c:v>41</c:v>
                </c:pt>
                <c:pt idx="39">
                  <c:v>40</c:v>
                </c:pt>
                <c:pt idx="40">
                  <c:v>26</c:v>
                </c:pt>
                <c:pt idx="41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D3-3C4F-851B-2BA954E90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4028672"/>
        <c:axId val="412357792"/>
      </c:barChart>
      <c:catAx>
        <c:axId val="394028672"/>
        <c:scaling>
          <c:orientation val="minMax"/>
        </c:scaling>
        <c:delete val="0"/>
        <c:axPos val="b"/>
        <c:majorTickMark val="out"/>
        <c:minorTickMark val="none"/>
        <c:tickLblPos val="nextTo"/>
        <c:crossAx val="412357792"/>
        <c:crosses val="autoZero"/>
        <c:auto val="1"/>
        <c:lblAlgn val="ctr"/>
        <c:lblOffset val="100"/>
        <c:noMultiLvlLbl val="0"/>
      </c:catAx>
      <c:valAx>
        <c:axId val="41235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402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Feed Used by House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PARAMS!$F$1</c:f>
              <c:strCache>
                <c:ptCount val="1"/>
                <c:pt idx="0">
                  <c:v>Age</c:v>
                </c:pt>
              </c:strCache>
            </c:strRef>
          </c:tx>
          <c:invertIfNegative val="0"/>
          <c:val>
            <c:numRef>
              <c:f>PARAMS!$F$2:$F$43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5-6947-A5D1-6009DB14EC4B}"/>
            </c:ext>
          </c:extLst>
        </c:ser>
        <c:ser>
          <c:idx val="1"/>
          <c:order val="1"/>
          <c:tx>
            <c:strRef>
              <c:f>PARAMS!$G$1</c:f>
              <c:strCache>
                <c:ptCount val="1"/>
                <c:pt idx="0">
                  <c:v>HouseA_Used</c:v>
                </c:pt>
              </c:strCache>
            </c:strRef>
          </c:tx>
          <c:invertIfNegative val="0"/>
          <c:val>
            <c:numRef>
              <c:f>PARAMS!$G$2:$G$43</c:f>
              <c:numCache>
                <c:formatCode>General</c:formatCode>
                <c:ptCount val="42"/>
                <c:pt idx="0">
                  <c:v>16</c:v>
                </c:pt>
                <c:pt idx="1">
                  <c:v>15</c:v>
                </c:pt>
                <c:pt idx="2">
                  <c:v>20</c:v>
                </c:pt>
                <c:pt idx="3">
                  <c:v>13</c:v>
                </c:pt>
                <c:pt idx="4">
                  <c:v>13</c:v>
                </c:pt>
                <c:pt idx="5">
                  <c:v>15</c:v>
                </c:pt>
                <c:pt idx="6">
                  <c:v>19</c:v>
                </c:pt>
                <c:pt idx="7">
                  <c:v>23</c:v>
                </c:pt>
                <c:pt idx="8">
                  <c:v>17</c:v>
                </c:pt>
                <c:pt idx="9">
                  <c:v>16</c:v>
                </c:pt>
                <c:pt idx="10">
                  <c:v>18</c:v>
                </c:pt>
                <c:pt idx="11">
                  <c:v>16</c:v>
                </c:pt>
                <c:pt idx="12">
                  <c:v>25</c:v>
                </c:pt>
                <c:pt idx="13">
                  <c:v>29</c:v>
                </c:pt>
                <c:pt idx="14">
                  <c:v>18</c:v>
                </c:pt>
                <c:pt idx="15">
                  <c:v>34</c:v>
                </c:pt>
                <c:pt idx="16">
                  <c:v>21</c:v>
                </c:pt>
                <c:pt idx="17">
                  <c:v>19</c:v>
                </c:pt>
                <c:pt idx="18">
                  <c:v>13</c:v>
                </c:pt>
                <c:pt idx="19">
                  <c:v>25</c:v>
                </c:pt>
                <c:pt idx="20">
                  <c:v>26</c:v>
                </c:pt>
                <c:pt idx="21">
                  <c:v>15</c:v>
                </c:pt>
                <c:pt idx="22">
                  <c:v>15</c:v>
                </c:pt>
                <c:pt idx="23">
                  <c:v>23</c:v>
                </c:pt>
                <c:pt idx="24">
                  <c:v>15</c:v>
                </c:pt>
                <c:pt idx="25">
                  <c:v>21</c:v>
                </c:pt>
                <c:pt idx="26">
                  <c:v>18</c:v>
                </c:pt>
                <c:pt idx="27">
                  <c:v>23</c:v>
                </c:pt>
                <c:pt idx="28">
                  <c:v>12</c:v>
                </c:pt>
                <c:pt idx="29">
                  <c:v>15</c:v>
                </c:pt>
                <c:pt idx="30">
                  <c:v>17</c:v>
                </c:pt>
                <c:pt idx="31">
                  <c:v>14</c:v>
                </c:pt>
                <c:pt idx="32">
                  <c:v>19</c:v>
                </c:pt>
                <c:pt idx="33">
                  <c:v>24</c:v>
                </c:pt>
                <c:pt idx="34">
                  <c:v>26</c:v>
                </c:pt>
                <c:pt idx="35">
                  <c:v>17</c:v>
                </c:pt>
                <c:pt idx="36">
                  <c:v>16</c:v>
                </c:pt>
                <c:pt idx="37">
                  <c:v>12</c:v>
                </c:pt>
                <c:pt idx="38">
                  <c:v>18</c:v>
                </c:pt>
                <c:pt idx="39">
                  <c:v>20</c:v>
                </c:pt>
                <c:pt idx="40">
                  <c:v>14</c:v>
                </c:pt>
                <c:pt idx="41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5-6947-A5D1-6009DB14EC4B}"/>
            </c:ext>
          </c:extLst>
        </c:ser>
        <c:ser>
          <c:idx val="2"/>
          <c:order val="2"/>
          <c:tx>
            <c:strRef>
              <c:f>PARAMS!$H$1</c:f>
              <c:strCache>
                <c:ptCount val="1"/>
                <c:pt idx="0">
                  <c:v>HouseB_Used</c:v>
                </c:pt>
              </c:strCache>
            </c:strRef>
          </c:tx>
          <c:invertIfNegative val="0"/>
          <c:val>
            <c:numRef>
              <c:f>PARAMS!$H$2:$H$43</c:f>
              <c:numCache>
                <c:formatCode>General</c:formatCode>
                <c:ptCount val="42"/>
                <c:pt idx="0">
                  <c:v>22</c:v>
                </c:pt>
                <c:pt idx="1">
                  <c:v>20</c:v>
                </c:pt>
                <c:pt idx="2">
                  <c:v>17</c:v>
                </c:pt>
                <c:pt idx="3">
                  <c:v>19</c:v>
                </c:pt>
                <c:pt idx="4">
                  <c:v>18</c:v>
                </c:pt>
                <c:pt idx="5">
                  <c:v>21</c:v>
                </c:pt>
                <c:pt idx="6">
                  <c:v>15</c:v>
                </c:pt>
                <c:pt idx="7">
                  <c:v>13</c:v>
                </c:pt>
                <c:pt idx="8">
                  <c:v>18</c:v>
                </c:pt>
                <c:pt idx="9">
                  <c:v>18</c:v>
                </c:pt>
                <c:pt idx="10">
                  <c:v>22</c:v>
                </c:pt>
                <c:pt idx="11">
                  <c:v>18</c:v>
                </c:pt>
                <c:pt idx="12">
                  <c:v>17</c:v>
                </c:pt>
                <c:pt idx="13">
                  <c:v>20</c:v>
                </c:pt>
                <c:pt idx="14">
                  <c:v>24</c:v>
                </c:pt>
                <c:pt idx="15">
                  <c:v>24</c:v>
                </c:pt>
                <c:pt idx="16">
                  <c:v>22</c:v>
                </c:pt>
                <c:pt idx="17">
                  <c:v>19</c:v>
                </c:pt>
                <c:pt idx="18">
                  <c:v>16</c:v>
                </c:pt>
                <c:pt idx="19">
                  <c:v>11</c:v>
                </c:pt>
                <c:pt idx="20">
                  <c:v>21</c:v>
                </c:pt>
                <c:pt idx="21">
                  <c:v>9</c:v>
                </c:pt>
                <c:pt idx="22">
                  <c:v>19</c:v>
                </c:pt>
                <c:pt idx="23">
                  <c:v>14</c:v>
                </c:pt>
                <c:pt idx="24">
                  <c:v>22</c:v>
                </c:pt>
                <c:pt idx="25">
                  <c:v>22</c:v>
                </c:pt>
                <c:pt idx="26">
                  <c:v>19</c:v>
                </c:pt>
                <c:pt idx="27">
                  <c:v>15</c:v>
                </c:pt>
                <c:pt idx="28">
                  <c:v>17</c:v>
                </c:pt>
                <c:pt idx="29">
                  <c:v>15</c:v>
                </c:pt>
                <c:pt idx="30">
                  <c:v>22</c:v>
                </c:pt>
                <c:pt idx="31">
                  <c:v>16</c:v>
                </c:pt>
                <c:pt idx="32">
                  <c:v>14</c:v>
                </c:pt>
                <c:pt idx="33">
                  <c:v>15</c:v>
                </c:pt>
                <c:pt idx="34">
                  <c:v>18</c:v>
                </c:pt>
                <c:pt idx="35">
                  <c:v>15</c:v>
                </c:pt>
                <c:pt idx="36">
                  <c:v>18</c:v>
                </c:pt>
                <c:pt idx="37">
                  <c:v>9</c:v>
                </c:pt>
                <c:pt idx="38">
                  <c:v>23</c:v>
                </c:pt>
                <c:pt idx="39">
                  <c:v>20</c:v>
                </c:pt>
                <c:pt idx="40">
                  <c:v>12</c:v>
                </c:pt>
                <c:pt idx="4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5-6947-A5D1-6009DB14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6604608"/>
        <c:axId val="396606320"/>
      </c:barChart>
      <c:catAx>
        <c:axId val="396604608"/>
        <c:scaling>
          <c:orientation val="minMax"/>
        </c:scaling>
        <c:delete val="0"/>
        <c:axPos val="b"/>
        <c:majorTickMark val="out"/>
        <c:minorTickMark val="none"/>
        <c:tickLblPos val="nextTo"/>
        <c:crossAx val="396606320"/>
        <c:crosses val="autoZero"/>
        <c:auto val="1"/>
        <c:lblAlgn val="ctr"/>
        <c:lblOffset val="100"/>
        <c:noMultiLvlLbl val="0"/>
      </c:catAx>
      <c:valAx>
        <c:axId val="39660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6604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Used by Type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PARAMS!$S$1</c:f>
              <c:strCache>
                <c:ptCount val="1"/>
                <c:pt idx="0">
                  <c:v>Age</c:v>
                </c:pt>
              </c:strCache>
            </c:strRef>
          </c:tx>
          <c:marker>
            <c:symbol val="none"/>
          </c:marker>
          <c:val>
            <c:numRef>
              <c:f>PARAMS!$S$2:$S$43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AF-9946-905C-B693956CCBD8}"/>
            </c:ext>
          </c:extLst>
        </c:ser>
        <c:ser>
          <c:idx val="1"/>
          <c:order val="1"/>
          <c:tx>
            <c:strRef>
              <c:f>PARAMS!$T$1</c:f>
              <c:strCache>
                <c:ptCount val="1"/>
                <c:pt idx="0">
                  <c:v>Cum_Used_A</c:v>
                </c:pt>
              </c:strCache>
            </c:strRef>
          </c:tx>
          <c:marker>
            <c:symbol val="none"/>
          </c:marker>
          <c:val>
            <c:numRef>
              <c:f>PARAMS!$T$2:$T$43</c:f>
              <c:numCache>
                <c:formatCode>General</c:formatCode>
                <c:ptCount val="42"/>
                <c:pt idx="0">
                  <c:v>38</c:v>
                </c:pt>
                <c:pt idx="1">
                  <c:v>73</c:v>
                </c:pt>
                <c:pt idx="2">
                  <c:v>110</c:v>
                </c:pt>
                <c:pt idx="3">
                  <c:v>142</c:v>
                </c:pt>
                <c:pt idx="4">
                  <c:v>173</c:v>
                </c:pt>
                <c:pt idx="5">
                  <c:v>209</c:v>
                </c:pt>
                <c:pt idx="6">
                  <c:v>243</c:v>
                </c:pt>
                <c:pt idx="7">
                  <c:v>279</c:v>
                </c:pt>
                <c:pt idx="8">
                  <c:v>314</c:v>
                </c:pt>
                <c:pt idx="9">
                  <c:v>348</c:v>
                </c:pt>
                <c:pt idx="10">
                  <c:v>388</c:v>
                </c:pt>
                <c:pt idx="11">
                  <c:v>422</c:v>
                </c:pt>
                <c:pt idx="12">
                  <c:v>464</c:v>
                </c:pt>
                <c:pt idx="13">
                  <c:v>513</c:v>
                </c:pt>
                <c:pt idx="14">
                  <c:v>555</c:v>
                </c:pt>
                <c:pt idx="15">
                  <c:v>613</c:v>
                </c:pt>
                <c:pt idx="16">
                  <c:v>656</c:v>
                </c:pt>
                <c:pt idx="17">
                  <c:v>694</c:v>
                </c:pt>
                <c:pt idx="18">
                  <c:v>723</c:v>
                </c:pt>
                <c:pt idx="19">
                  <c:v>759</c:v>
                </c:pt>
                <c:pt idx="20">
                  <c:v>759</c:v>
                </c:pt>
                <c:pt idx="21">
                  <c:v>759</c:v>
                </c:pt>
                <c:pt idx="22">
                  <c:v>759</c:v>
                </c:pt>
                <c:pt idx="23">
                  <c:v>759</c:v>
                </c:pt>
                <c:pt idx="24">
                  <c:v>759</c:v>
                </c:pt>
                <c:pt idx="25">
                  <c:v>759</c:v>
                </c:pt>
                <c:pt idx="26">
                  <c:v>759</c:v>
                </c:pt>
                <c:pt idx="27">
                  <c:v>759</c:v>
                </c:pt>
                <c:pt idx="28">
                  <c:v>759</c:v>
                </c:pt>
                <c:pt idx="29">
                  <c:v>759</c:v>
                </c:pt>
                <c:pt idx="30">
                  <c:v>759</c:v>
                </c:pt>
                <c:pt idx="31">
                  <c:v>759</c:v>
                </c:pt>
                <c:pt idx="32">
                  <c:v>759</c:v>
                </c:pt>
                <c:pt idx="33">
                  <c:v>759</c:v>
                </c:pt>
                <c:pt idx="34">
                  <c:v>759</c:v>
                </c:pt>
                <c:pt idx="35">
                  <c:v>759</c:v>
                </c:pt>
                <c:pt idx="36">
                  <c:v>759</c:v>
                </c:pt>
                <c:pt idx="37">
                  <c:v>759</c:v>
                </c:pt>
                <c:pt idx="38">
                  <c:v>759</c:v>
                </c:pt>
                <c:pt idx="39">
                  <c:v>759</c:v>
                </c:pt>
                <c:pt idx="40">
                  <c:v>759</c:v>
                </c:pt>
                <c:pt idx="41">
                  <c:v>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AF-9946-905C-B693956CCBD8}"/>
            </c:ext>
          </c:extLst>
        </c:ser>
        <c:ser>
          <c:idx val="2"/>
          <c:order val="2"/>
          <c:tx>
            <c:strRef>
              <c:f>PARAMS!$U$1</c:f>
              <c:strCache>
                <c:ptCount val="1"/>
                <c:pt idx="0">
                  <c:v>Cum_Used_B</c:v>
                </c:pt>
              </c:strCache>
            </c:strRef>
          </c:tx>
          <c:marker>
            <c:symbol val="none"/>
          </c:marker>
          <c:val>
            <c:numRef>
              <c:f>PARAMS!$U$2:$U$43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47</c:v>
                </c:pt>
                <c:pt idx="21">
                  <c:v>71</c:v>
                </c:pt>
                <c:pt idx="22">
                  <c:v>105</c:v>
                </c:pt>
                <c:pt idx="23">
                  <c:v>142</c:v>
                </c:pt>
                <c:pt idx="24">
                  <c:v>179</c:v>
                </c:pt>
                <c:pt idx="25">
                  <c:v>222</c:v>
                </c:pt>
                <c:pt idx="26">
                  <c:v>259</c:v>
                </c:pt>
                <c:pt idx="27">
                  <c:v>297</c:v>
                </c:pt>
                <c:pt idx="28">
                  <c:v>326</c:v>
                </c:pt>
                <c:pt idx="29">
                  <c:v>356</c:v>
                </c:pt>
                <c:pt idx="30">
                  <c:v>395</c:v>
                </c:pt>
                <c:pt idx="31">
                  <c:v>425</c:v>
                </c:pt>
                <c:pt idx="32">
                  <c:v>458</c:v>
                </c:pt>
                <c:pt idx="33">
                  <c:v>497</c:v>
                </c:pt>
                <c:pt idx="34">
                  <c:v>541</c:v>
                </c:pt>
                <c:pt idx="35">
                  <c:v>573</c:v>
                </c:pt>
                <c:pt idx="36">
                  <c:v>573</c:v>
                </c:pt>
                <c:pt idx="37">
                  <c:v>573</c:v>
                </c:pt>
                <c:pt idx="38">
                  <c:v>573</c:v>
                </c:pt>
                <c:pt idx="39">
                  <c:v>573</c:v>
                </c:pt>
                <c:pt idx="40">
                  <c:v>573</c:v>
                </c:pt>
                <c:pt idx="41">
                  <c:v>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AF-9946-905C-B693956CCBD8}"/>
            </c:ext>
          </c:extLst>
        </c:ser>
        <c:ser>
          <c:idx val="3"/>
          <c:order val="3"/>
          <c:tx>
            <c:strRef>
              <c:f>PARAMS!$V$1</c:f>
              <c:strCache>
                <c:ptCount val="1"/>
                <c:pt idx="0">
                  <c:v>Cum_Used_C</c:v>
                </c:pt>
              </c:strCache>
            </c:strRef>
          </c:tx>
          <c:marker>
            <c:symbol val="none"/>
          </c:marker>
          <c:val>
            <c:numRef>
              <c:f>PARAMS!$V$2:$V$43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34</c:v>
                </c:pt>
                <c:pt idx="37">
                  <c:v>55</c:v>
                </c:pt>
                <c:pt idx="38">
                  <c:v>96</c:v>
                </c:pt>
                <c:pt idx="39">
                  <c:v>136</c:v>
                </c:pt>
                <c:pt idx="40">
                  <c:v>162</c:v>
                </c:pt>
                <c:pt idx="41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AF-9946-905C-B693956CC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548496"/>
        <c:axId val="396550208"/>
      </c:lineChart>
      <c:catAx>
        <c:axId val="396548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96550208"/>
        <c:crosses val="autoZero"/>
        <c:auto val="1"/>
        <c:lblAlgn val="ctr"/>
        <c:lblOffset val="100"/>
        <c:noMultiLvlLbl val="0"/>
      </c:catAx>
      <c:valAx>
        <c:axId val="39655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6548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7-Day Moving Avg Total Used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PARAMS!$X$1</c:f>
              <c:strCache>
                <c:ptCount val="1"/>
                <c:pt idx="0">
                  <c:v>Age</c:v>
                </c:pt>
              </c:strCache>
            </c:strRef>
          </c:tx>
          <c:marker>
            <c:symbol val="none"/>
          </c:marker>
          <c:val>
            <c:numRef>
              <c:f>PARAMS!$X$2:$X$43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DE-DE47-8930-6B30AC21FACF}"/>
            </c:ext>
          </c:extLst>
        </c:ser>
        <c:ser>
          <c:idx val="1"/>
          <c:order val="1"/>
          <c:tx>
            <c:strRef>
              <c:f>PARAMS!$Y$1</c:f>
              <c:strCache>
                <c:ptCount val="1"/>
                <c:pt idx="0">
                  <c:v>7D_MA_TotalUsed</c:v>
                </c:pt>
              </c:strCache>
            </c:strRef>
          </c:tx>
          <c:marker>
            <c:symbol val="none"/>
          </c:marker>
          <c:val>
            <c:numRef>
              <c:f>PARAMS!$Y$2:$Y$43</c:f>
              <c:numCache>
                <c:formatCode>General</c:formatCode>
                <c:ptCount val="42"/>
                <c:pt idx="0">
                  <c:v>53.214285714285708</c:v>
                </c:pt>
                <c:pt idx="1">
                  <c:v>53.560975609756099</c:v>
                </c:pt>
                <c:pt idx="2">
                  <c:v>53.974999999999994</c:v>
                </c:pt>
                <c:pt idx="3">
                  <c:v>54.333333333333336</c:v>
                </c:pt>
                <c:pt idx="4">
                  <c:v>54.815789473684212</c:v>
                </c:pt>
                <c:pt idx="5">
                  <c:v>38.333333333333336</c:v>
                </c:pt>
                <c:pt idx="6">
                  <c:v>38.714285714285715</c:v>
                </c:pt>
                <c:pt idx="7">
                  <c:v>39.428571428571431</c:v>
                </c:pt>
                <c:pt idx="8">
                  <c:v>40.428571428571431</c:v>
                </c:pt>
                <c:pt idx="9">
                  <c:v>41</c:v>
                </c:pt>
                <c:pt idx="10">
                  <c:v>43.142857142857146</c:v>
                </c:pt>
                <c:pt idx="11">
                  <c:v>44.571428571428569</c:v>
                </c:pt>
                <c:pt idx="12">
                  <c:v>46.428571428571431</c:v>
                </c:pt>
                <c:pt idx="13">
                  <c:v>49.571428571428569</c:v>
                </c:pt>
                <c:pt idx="14">
                  <c:v>51.428571428571431</c:v>
                </c:pt>
                <c:pt idx="15">
                  <c:v>55.714285714285715</c:v>
                </c:pt>
                <c:pt idx="16">
                  <c:v>58</c:v>
                </c:pt>
                <c:pt idx="17">
                  <c:v>58.714285714285715</c:v>
                </c:pt>
                <c:pt idx="18">
                  <c:v>59</c:v>
                </c:pt>
                <c:pt idx="19">
                  <c:v>59.142857142857146</c:v>
                </c:pt>
                <c:pt idx="20">
                  <c:v>59.857142857142861</c:v>
                </c:pt>
                <c:pt idx="21">
                  <c:v>58.285714285714278</c:v>
                </c:pt>
                <c:pt idx="22">
                  <c:v>55.857142857142861</c:v>
                </c:pt>
                <c:pt idx="23">
                  <c:v>56</c:v>
                </c:pt>
                <c:pt idx="24">
                  <c:v>56.857142857142861</c:v>
                </c:pt>
                <c:pt idx="25">
                  <c:v>59.857142857142861</c:v>
                </c:pt>
                <c:pt idx="26">
                  <c:v>61</c:v>
                </c:pt>
                <c:pt idx="27">
                  <c:v>60.714285714285715</c:v>
                </c:pt>
                <c:pt idx="28">
                  <c:v>62.428571428571431</c:v>
                </c:pt>
                <c:pt idx="29">
                  <c:v>62.857142857142854</c:v>
                </c:pt>
                <c:pt idx="30">
                  <c:v>64.142857142857139</c:v>
                </c:pt>
                <c:pt idx="31">
                  <c:v>64.142857142857139</c:v>
                </c:pt>
                <c:pt idx="32">
                  <c:v>63.714285714285715</c:v>
                </c:pt>
                <c:pt idx="33">
                  <c:v>65</c:v>
                </c:pt>
                <c:pt idx="34">
                  <c:v>66.857142857142861</c:v>
                </c:pt>
                <c:pt idx="35">
                  <c:v>68.285714285714278</c:v>
                </c:pt>
                <c:pt idx="36">
                  <c:v>65</c:v>
                </c:pt>
                <c:pt idx="37">
                  <c:v>60.428571428571431</c:v>
                </c:pt>
                <c:pt idx="38">
                  <c:v>57.142857142857139</c:v>
                </c:pt>
                <c:pt idx="39">
                  <c:v>53.428571428571431</c:v>
                </c:pt>
                <c:pt idx="40">
                  <c:v>48.857142857142861</c:v>
                </c:pt>
                <c:pt idx="41">
                  <c:v>43.571428571428569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DE-DE47-8930-6B30AC21F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454256"/>
        <c:axId val="396455968"/>
      </c:lineChart>
      <c:catAx>
        <c:axId val="39645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396455968"/>
        <c:crosses val="autoZero"/>
        <c:auto val="1"/>
        <c:lblAlgn val="ctr"/>
        <c:lblOffset val="100"/>
        <c:noMultiLvlLbl val="0"/>
      </c:catAx>
      <c:valAx>
        <c:axId val="39645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6454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Deaths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PARAMS!$J$1</c:f>
              <c:strCache>
                <c:ptCount val="1"/>
                <c:pt idx="0">
                  <c:v>Age</c:v>
                </c:pt>
              </c:strCache>
            </c:strRef>
          </c:tx>
          <c:invertIfNegative val="0"/>
          <c:val>
            <c:numRef>
              <c:f>PARAMS!$J$2:$J$43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E-4140-B0E0-AFFD105E3C27}"/>
            </c:ext>
          </c:extLst>
        </c:ser>
        <c:ser>
          <c:idx val="1"/>
          <c:order val="1"/>
          <c:tx>
            <c:strRef>
              <c:f>PARAMS!$K$1</c:f>
              <c:strCache>
                <c:ptCount val="1"/>
                <c:pt idx="0">
                  <c:v>Deaths</c:v>
                </c:pt>
              </c:strCache>
            </c:strRef>
          </c:tx>
          <c:invertIfNegative val="0"/>
          <c:val>
            <c:numRef>
              <c:f>PARAMS!$K$2:$K$43</c:f>
              <c:numCache>
                <c:formatCode>General</c:formatCode>
                <c:ptCount val="42"/>
                <c:pt idx="0">
                  <c:v>2</c:v>
                </c:pt>
                <c:pt idx="1">
                  <c:v>6</c:v>
                </c:pt>
                <c:pt idx="2">
                  <c:v>3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7</c:v>
                </c:pt>
                <c:pt idx="12">
                  <c:v>7</c:v>
                </c:pt>
                <c:pt idx="13">
                  <c:v>4</c:v>
                </c:pt>
                <c:pt idx="14">
                  <c:v>9</c:v>
                </c:pt>
                <c:pt idx="15">
                  <c:v>4</c:v>
                </c:pt>
                <c:pt idx="16">
                  <c:v>5</c:v>
                </c:pt>
                <c:pt idx="17">
                  <c:v>7</c:v>
                </c:pt>
                <c:pt idx="18">
                  <c:v>1</c:v>
                </c:pt>
                <c:pt idx="19">
                  <c:v>3</c:v>
                </c:pt>
                <c:pt idx="20">
                  <c:v>6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4</c:v>
                </c:pt>
                <c:pt idx="28">
                  <c:v>0</c:v>
                </c:pt>
                <c:pt idx="29">
                  <c:v>2</c:v>
                </c:pt>
                <c:pt idx="30">
                  <c:v>2</c:v>
                </c:pt>
                <c:pt idx="31">
                  <c:v>3</c:v>
                </c:pt>
                <c:pt idx="32">
                  <c:v>5</c:v>
                </c:pt>
                <c:pt idx="33">
                  <c:v>4</c:v>
                </c:pt>
                <c:pt idx="34">
                  <c:v>4</c:v>
                </c:pt>
                <c:pt idx="35">
                  <c:v>2</c:v>
                </c:pt>
                <c:pt idx="36">
                  <c:v>5</c:v>
                </c:pt>
                <c:pt idx="37">
                  <c:v>0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FE-4140-B0E0-AFFD105E3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364640"/>
        <c:axId val="476210752"/>
      </c:barChart>
      <c:catAx>
        <c:axId val="476364640"/>
        <c:scaling>
          <c:orientation val="minMax"/>
        </c:scaling>
        <c:delete val="0"/>
        <c:axPos val="b"/>
        <c:majorTickMark val="out"/>
        <c:minorTickMark val="none"/>
        <c:tickLblPos val="nextTo"/>
        <c:crossAx val="476210752"/>
        <c:crosses val="autoZero"/>
        <c:auto val="1"/>
        <c:lblAlgn val="ctr"/>
        <c:lblOffset val="100"/>
        <c:noMultiLvlLbl val="0"/>
      </c:catAx>
      <c:valAx>
        <c:axId val="47621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6364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Survivors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PARAMS!$J$1</c:f>
              <c:strCache>
                <c:ptCount val="1"/>
                <c:pt idx="0">
                  <c:v>Age</c:v>
                </c:pt>
              </c:strCache>
            </c:strRef>
          </c:tx>
          <c:marker>
            <c:symbol val="none"/>
          </c:marker>
          <c:val>
            <c:numRef>
              <c:f>PARAMS!$J$2:$J$43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05-C04C-A429-6851D3675E15}"/>
            </c:ext>
          </c:extLst>
        </c:ser>
        <c:ser>
          <c:idx val="1"/>
          <c:order val="1"/>
          <c:tx>
            <c:strRef>
              <c:f>PARAMS!$K$1</c:f>
              <c:strCache>
                <c:ptCount val="1"/>
                <c:pt idx="0">
                  <c:v>Deaths</c:v>
                </c:pt>
              </c:strCache>
            </c:strRef>
          </c:tx>
          <c:marker>
            <c:symbol val="none"/>
          </c:marker>
          <c:val>
            <c:numRef>
              <c:f>PARAMS!$K$2:$K$43</c:f>
              <c:numCache>
                <c:formatCode>General</c:formatCode>
                <c:ptCount val="42"/>
                <c:pt idx="0">
                  <c:v>2</c:v>
                </c:pt>
                <c:pt idx="1">
                  <c:v>6</c:v>
                </c:pt>
                <c:pt idx="2">
                  <c:v>3</c:v>
                </c:pt>
                <c:pt idx="3">
                  <c:v>2</c:v>
                </c:pt>
                <c:pt idx="4">
                  <c:v>5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7</c:v>
                </c:pt>
                <c:pt idx="12">
                  <c:v>7</c:v>
                </c:pt>
                <c:pt idx="13">
                  <c:v>4</c:v>
                </c:pt>
                <c:pt idx="14">
                  <c:v>9</c:v>
                </c:pt>
                <c:pt idx="15">
                  <c:v>4</c:v>
                </c:pt>
                <c:pt idx="16">
                  <c:v>5</c:v>
                </c:pt>
                <c:pt idx="17">
                  <c:v>7</c:v>
                </c:pt>
                <c:pt idx="18">
                  <c:v>1</c:v>
                </c:pt>
                <c:pt idx="19">
                  <c:v>3</c:v>
                </c:pt>
                <c:pt idx="20">
                  <c:v>6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4</c:v>
                </c:pt>
                <c:pt idx="28">
                  <c:v>0</c:v>
                </c:pt>
                <c:pt idx="29">
                  <c:v>2</c:v>
                </c:pt>
                <c:pt idx="30">
                  <c:v>2</c:v>
                </c:pt>
                <c:pt idx="31">
                  <c:v>3</c:v>
                </c:pt>
                <c:pt idx="32">
                  <c:v>5</c:v>
                </c:pt>
                <c:pt idx="33">
                  <c:v>4</c:v>
                </c:pt>
                <c:pt idx="34">
                  <c:v>4</c:v>
                </c:pt>
                <c:pt idx="35">
                  <c:v>2</c:v>
                </c:pt>
                <c:pt idx="36">
                  <c:v>5</c:v>
                </c:pt>
                <c:pt idx="37">
                  <c:v>0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05-C04C-A429-6851D3675E15}"/>
            </c:ext>
          </c:extLst>
        </c:ser>
        <c:ser>
          <c:idx val="2"/>
          <c:order val="2"/>
          <c:tx>
            <c:strRef>
              <c:f>PARAMS!$L$1</c:f>
              <c:strCache>
                <c:ptCount val="1"/>
                <c:pt idx="0">
                  <c:v>Survivors</c:v>
                </c:pt>
              </c:strCache>
            </c:strRef>
          </c:tx>
          <c:marker>
            <c:symbol val="none"/>
          </c:marker>
          <c:val>
            <c:numRef>
              <c:f>PARAMS!$L$2:$L$43</c:f>
              <c:numCache>
                <c:formatCode>General</c:formatCode>
                <c:ptCount val="42"/>
                <c:pt idx="0">
                  <c:v>19998</c:v>
                </c:pt>
                <c:pt idx="1">
                  <c:v>19992</c:v>
                </c:pt>
                <c:pt idx="2">
                  <c:v>19989</c:v>
                </c:pt>
                <c:pt idx="3">
                  <c:v>19987</c:v>
                </c:pt>
                <c:pt idx="4">
                  <c:v>19982</c:v>
                </c:pt>
                <c:pt idx="5">
                  <c:v>19981</c:v>
                </c:pt>
                <c:pt idx="6">
                  <c:v>19976</c:v>
                </c:pt>
                <c:pt idx="7">
                  <c:v>19974</c:v>
                </c:pt>
                <c:pt idx="8">
                  <c:v>19972</c:v>
                </c:pt>
                <c:pt idx="9">
                  <c:v>19968</c:v>
                </c:pt>
                <c:pt idx="10">
                  <c:v>19964</c:v>
                </c:pt>
                <c:pt idx="11">
                  <c:v>19957</c:v>
                </c:pt>
                <c:pt idx="12">
                  <c:v>19950</c:v>
                </c:pt>
                <c:pt idx="13">
                  <c:v>19946</c:v>
                </c:pt>
                <c:pt idx="14">
                  <c:v>19937</c:v>
                </c:pt>
                <c:pt idx="15">
                  <c:v>19933</c:v>
                </c:pt>
                <c:pt idx="16">
                  <c:v>19928</c:v>
                </c:pt>
                <c:pt idx="17">
                  <c:v>19921</c:v>
                </c:pt>
                <c:pt idx="18">
                  <c:v>19920</c:v>
                </c:pt>
                <c:pt idx="19">
                  <c:v>19917</c:v>
                </c:pt>
                <c:pt idx="20">
                  <c:v>19911</c:v>
                </c:pt>
                <c:pt idx="21">
                  <c:v>19909</c:v>
                </c:pt>
                <c:pt idx="22">
                  <c:v>19905</c:v>
                </c:pt>
                <c:pt idx="23">
                  <c:v>19901</c:v>
                </c:pt>
                <c:pt idx="24">
                  <c:v>19897</c:v>
                </c:pt>
                <c:pt idx="25">
                  <c:v>19893</c:v>
                </c:pt>
                <c:pt idx="26">
                  <c:v>19888</c:v>
                </c:pt>
                <c:pt idx="27">
                  <c:v>19884</c:v>
                </c:pt>
                <c:pt idx="28">
                  <c:v>19884</c:v>
                </c:pt>
                <c:pt idx="29">
                  <c:v>19882</c:v>
                </c:pt>
                <c:pt idx="30">
                  <c:v>19880</c:v>
                </c:pt>
                <c:pt idx="31">
                  <c:v>19877</c:v>
                </c:pt>
                <c:pt idx="32">
                  <c:v>19872</c:v>
                </c:pt>
                <c:pt idx="33">
                  <c:v>19868</c:v>
                </c:pt>
                <c:pt idx="34">
                  <c:v>19864</c:v>
                </c:pt>
                <c:pt idx="35">
                  <c:v>19862</c:v>
                </c:pt>
                <c:pt idx="36">
                  <c:v>19857</c:v>
                </c:pt>
                <c:pt idx="37">
                  <c:v>19857</c:v>
                </c:pt>
                <c:pt idx="38">
                  <c:v>19854</c:v>
                </c:pt>
                <c:pt idx="39">
                  <c:v>19850</c:v>
                </c:pt>
                <c:pt idx="40">
                  <c:v>19847</c:v>
                </c:pt>
                <c:pt idx="41">
                  <c:v>19840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05-C04C-A429-6851D3675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920624"/>
        <c:axId val="476496848"/>
      </c:lineChart>
      <c:catAx>
        <c:axId val="47692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476496848"/>
        <c:crosses val="autoZero"/>
        <c:auto val="1"/>
        <c:lblAlgn val="ctr"/>
        <c:lblOffset val="100"/>
        <c:noMultiLvlLbl val="0"/>
      </c:catAx>
      <c:valAx>
        <c:axId val="47649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6920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Orders by Type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PARAMS!$N$1</c:f>
              <c:strCache>
                <c:ptCount val="1"/>
                <c:pt idx="0">
                  <c:v>Age</c:v>
                </c:pt>
              </c:strCache>
            </c:strRef>
          </c:tx>
          <c:invertIfNegative val="0"/>
          <c:val>
            <c:numRef>
              <c:f>PARAMS!$N$2:$N$43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F8-1E47-95EE-9F7C83ABD6FA}"/>
            </c:ext>
          </c:extLst>
        </c:ser>
        <c:ser>
          <c:idx val="1"/>
          <c:order val="1"/>
          <c:tx>
            <c:strRef>
              <c:f>PARAMS!$O$1</c:f>
              <c:strCache>
                <c:ptCount val="1"/>
                <c:pt idx="0">
                  <c:v>Order_A</c:v>
                </c:pt>
              </c:strCache>
            </c:strRef>
          </c:tx>
          <c:invertIfNegative val="0"/>
          <c:val>
            <c:numRef>
              <c:f>PARAMS!$O$2:$O$43</c:f>
              <c:numCache>
                <c:formatCode>General</c:formatCode>
                <c:ptCount val="42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F8-1E47-95EE-9F7C83ABD6FA}"/>
            </c:ext>
          </c:extLst>
        </c:ser>
        <c:ser>
          <c:idx val="2"/>
          <c:order val="2"/>
          <c:tx>
            <c:strRef>
              <c:f>PARAMS!$P$1</c:f>
              <c:strCache>
                <c:ptCount val="1"/>
                <c:pt idx="0">
                  <c:v>Order_B</c:v>
                </c:pt>
              </c:strCache>
            </c:strRef>
          </c:tx>
          <c:invertIfNegative val="0"/>
          <c:val>
            <c:numRef>
              <c:f>PARAMS!$P$2:$P$43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F8-1E47-95EE-9F7C83ABD6FA}"/>
            </c:ext>
          </c:extLst>
        </c:ser>
        <c:ser>
          <c:idx val="3"/>
          <c:order val="3"/>
          <c:tx>
            <c:strRef>
              <c:f>PARAMS!$Q$1</c:f>
              <c:strCache>
                <c:ptCount val="1"/>
                <c:pt idx="0">
                  <c:v>Order_C</c:v>
                </c:pt>
              </c:strCache>
            </c:strRef>
          </c:tx>
          <c:invertIfNegative val="0"/>
          <c:val>
            <c:numRef>
              <c:f>PARAMS!$Q$2:$Q$43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F8-1E47-95EE-9F7C83ABD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256384"/>
        <c:axId val="412258096"/>
      </c:barChart>
      <c:catAx>
        <c:axId val="412256384"/>
        <c:scaling>
          <c:orientation val="minMax"/>
        </c:scaling>
        <c:delete val="0"/>
        <c:axPos val="b"/>
        <c:majorTickMark val="out"/>
        <c:minorTickMark val="none"/>
        <c:tickLblPos val="nextTo"/>
        <c:crossAx val="412258096"/>
        <c:crosses val="autoZero"/>
        <c:auto val="1"/>
        <c:lblAlgn val="ctr"/>
        <c:lblOffset val="100"/>
        <c:noMultiLvlLbl val="0"/>
      </c:catAx>
      <c:valAx>
        <c:axId val="41225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2256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Inventory by Type (Modelled)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PARAMS!$AA$1</c:f>
              <c:strCache>
                <c:ptCount val="1"/>
                <c:pt idx="0">
                  <c:v>Age</c:v>
                </c:pt>
              </c:strCache>
            </c:strRef>
          </c:tx>
          <c:val>
            <c:numRef>
              <c:f>PARAMS!$AA$2:$AA$43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62-7549-93B9-21270FA1A6A6}"/>
            </c:ext>
          </c:extLst>
        </c:ser>
        <c:ser>
          <c:idx val="1"/>
          <c:order val="1"/>
          <c:tx>
            <c:strRef>
              <c:f>PARAMS!$AB$1</c:f>
              <c:strCache>
                <c:ptCount val="1"/>
                <c:pt idx="0">
                  <c:v>Stock_A</c:v>
                </c:pt>
              </c:strCache>
            </c:strRef>
          </c:tx>
          <c:spPr>
            <a:ln w="25400">
              <a:noFill/>
            </a:ln>
          </c:spPr>
          <c:val>
            <c:numRef>
              <c:f>PARAMS!$AB$2:$AB$43</c:f>
              <c:numCache>
                <c:formatCode>General</c:formatCode>
                <c:ptCount val="42"/>
                <c:pt idx="0">
                  <c:v>362</c:v>
                </c:pt>
                <c:pt idx="1">
                  <c:v>327</c:v>
                </c:pt>
                <c:pt idx="2">
                  <c:v>290</c:v>
                </c:pt>
                <c:pt idx="3">
                  <c:v>258</c:v>
                </c:pt>
                <c:pt idx="4">
                  <c:v>227</c:v>
                </c:pt>
                <c:pt idx="5">
                  <c:v>191</c:v>
                </c:pt>
                <c:pt idx="6">
                  <c:v>157</c:v>
                </c:pt>
                <c:pt idx="7">
                  <c:v>521</c:v>
                </c:pt>
                <c:pt idx="8">
                  <c:v>486</c:v>
                </c:pt>
                <c:pt idx="9">
                  <c:v>452</c:v>
                </c:pt>
                <c:pt idx="10">
                  <c:v>412</c:v>
                </c:pt>
                <c:pt idx="11">
                  <c:v>378</c:v>
                </c:pt>
                <c:pt idx="12">
                  <c:v>336</c:v>
                </c:pt>
                <c:pt idx="13">
                  <c:v>287</c:v>
                </c:pt>
                <c:pt idx="14">
                  <c:v>245</c:v>
                </c:pt>
                <c:pt idx="15">
                  <c:v>387</c:v>
                </c:pt>
                <c:pt idx="16">
                  <c:v>344</c:v>
                </c:pt>
                <c:pt idx="17">
                  <c:v>306</c:v>
                </c:pt>
                <c:pt idx="18">
                  <c:v>277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62-7549-93B9-21270FA1A6A6}"/>
            </c:ext>
          </c:extLst>
        </c:ser>
        <c:ser>
          <c:idx val="2"/>
          <c:order val="2"/>
          <c:tx>
            <c:strRef>
              <c:f>PARAMS!$AC$1</c:f>
              <c:strCache>
                <c:ptCount val="1"/>
                <c:pt idx="0">
                  <c:v>Stock_B</c:v>
                </c:pt>
              </c:strCache>
            </c:strRef>
          </c:tx>
          <c:spPr>
            <a:ln w="25400">
              <a:noFill/>
            </a:ln>
          </c:spPr>
          <c:val>
            <c:numRef>
              <c:f>PARAMS!$AC$2:$AC$43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153</c:v>
                </c:pt>
                <c:pt idx="21">
                  <c:v>129</c:v>
                </c:pt>
                <c:pt idx="22">
                  <c:v>95</c:v>
                </c:pt>
                <c:pt idx="23">
                  <c:v>458</c:v>
                </c:pt>
                <c:pt idx="24">
                  <c:v>421</c:v>
                </c:pt>
                <c:pt idx="25">
                  <c:v>378</c:v>
                </c:pt>
                <c:pt idx="26">
                  <c:v>341</c:v>
                </c:pt>
                <c:pt idx="27">
                  <c:v>303</c:v>
                </c:pt>
                <c:pt idx="28">
                  <c:v>274</c:v>
                </c:pt>
                <c:pt idx="29">
                  <c:v>444</c:v>
                </c:pt>
                <c:pt idx="30">
                  <c:v>405</c:v>
                </c:pt>
                <c:pt idx="31">
                  <c:v>375</c:v>
                </c:pt>
                <c:pt idx="32">
                  <c:v>342</c:v>
                </c:pt>
                <c:pt idx="33">
                  <c:v>303</c:v>
                </c:pt>
                <c:pt idx="34">
                  <c:v>259</c:v>
                </c:pt>
                <c:pt idx="35">
                  <c:v>227</c:v>
                </c:pt>
                <c:pt idx="36">
                  <c:v>227</c:v>
                </c:pt>
                <c:pt idx="37">
                  <c:v>227</c:v>
                </c:pt>
                <c:pt idx="38">
                  <c:v>227</c:v>
                </c:pt>
                <c:pt idx="39">
                  <c:v>227</c:v>
                </c:pt>
                <c:pt idx="40">
                  <c:v>227</c:v>
                </c:pt>
                <c:pt idx="41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62-7549-93B9-21270FA1A6A6}"/>
            </c:ext>
          </c:extLst>
        </c:ser>
        <c:ser>
          <c:idx val="3"/>
          <c:order val="3"/>
          <c:tx>
            <c:strRef>
              <c:f>PARAMS!$AD$1</c:f>
              <c:strCache>
                <c:ptCount val="1"/>
                <c:pt idx="0">
                  <c:v>Stock_C</c:v>
                </c:pt>
              </c:strCache>
            </c:strRef>
          </c:tx>
          <c:spPr>
            <a:ln w="25400">
              <a:noFill/>
            </a:ln>
          </c:spPr>
          <c:val>
            <c:numRef>
              <c:f>PARAMS!$AD$2:$AD$43</c:f>
              <c:numCache>
                <c:formatCode>General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600</c:v>
                </c:pt>
                <c:pt idx="36">
                  <c:v>566</c:v>
                </c:pt>
                <c:pt idx="37">
                  <c:v>545</c:v>
                </c:pt>
                <c:pt idx="38">
                  <c:v>504</c:v>
                </c:pt>
                <c:pt idx="39">
                  <c:v>464</c:v>
                </c:pt>
                <c:pt idx="40">
                  <c:v>438</c:v>
                </c:pt>
                <c:pt idx="41">
                  <c:v>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62-7549-93B9-21270FA1A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36608"/>
        <c:axId val="476546288"/>
      </c:areaChart>
      <c:catAx>
        <c:axId val="47653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476546288"/>
        <c:crosses val="autoZero"/>
        <c:auto val="1"/>
        <c:lblAlgn val="ctr"/>
        <c:lblOffset val="100"/>
        <c:noMultiLvlLbl val="0"/>
      </c:catAx>
      <c:valAx>
        <c:axId val="47654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6536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Feed Mix Share by Phase</a:t>
            </a:r>
          </a:p>
        </c:rich>
      </c:tx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invertIfNegative val="0"/>
          <c:cat>
            <c:strRef>
              <c:f>PARAMS!$AF$1:$AI$1</c:f>
              <c:strCache>
                <c:ptCount val="4"/>
                <c:pt idx="0">
                  <c:v>Phase</c:v>
                </c:pt>
                <c:pt idx="1">
                  <c:v>Used_A</c:v>
                </c:pt>
                <c:pt idx="2">
                  <c:v>Used_B</c:v>
                </c:pt>
                <c:pt idx="3">
                  <c:v>Used_C</c:v>
                </c:pt>
              </c:strCache>
            </c:strRef>
          </c:cat>
          <c:val>
            <c:numRef>
              <c:f>PARAMS!$AF$2:$AI$2</c:f>
              <c:numCache>
                <c:formatCode>General</c:formatCode>
                <c:ptCount val="4"/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8-F045-923D-F04F891E59F9}"/>
            </c:ext>
          </c:extLst>
        </c:ser>
        <c:ser>
          <c:idx val="1"/>
          <c:order val="1"/>
          <c:invertIfNegative val="0"/>
          <c:cat>
            <c:strRef>
              <c:f>PARAMS!$AF$1:$AI$1</c:f>
              <c:strCache>
                <c:ptCount val="4"/>
                <c:pt idx="0">
                  <c:v>Phase</c:v>
                </c:pt>
                <c:pt idx="1">
                  <c:v>Used_A</c:v>
                </c:pt>
                <c:pt idx="2">
                  <c:v>Used_B</c:v>
                </c:pt>
                <c:pt idx="3">
                  <c:v>Used_C</c:v>
                </c:pt>
              </c:strCache>
            </c:strRef>
          </c:cat>
          <c:val>
            <c:numRef>
              <c:f>PARAMS!$AF$3:$AI$3</c:f>
              <c:numCache>
                <c:formatCode>General</c:formatCode>
                <c:ptCount val="4"/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8-F045-923D-F04F891E59F9}"/>
            </c:ext>
          </c:extLst>
        </c:ser>
        <c:ser>
          <c:idx val="2"/>
          <c:order val="2"/>
          <c:invertIfNegative val="0"/>
          <c:cat>
            <c:strRef>
              <c:f>PARAMS!$AF$1:$AI$1</c:f>
              <c:strCache>
                <c:ptCount val="4"/>
                <c:pt idx="0">
                  <c:v>Phase</c:v>
                </c:pt>
                <c:pt idx="1">
                  <c:v>Used_A</c:v>
                </c:pt>
                <c:pt idx="2">
                  <c:v>Used_B</c:v>
                </c:pt>
                <c:pt idx="3">
                  <c:v>Used_C</c:v>
                </c:pt>
              </c:strCache>
            </c:strRef>
          </c:cat>
          <c:val>
            <c:numRef>
              <c:f>PARAMS!$AF$4:$AI$4</c:f>
              <c:numCache>
                <c:formatCode>General</c:formatCode>
                <c:ptCount val="4"/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8-F045-923D-F04F891E5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6256032"/>
        <c:axId val="476257744"/>
      </c:barChart>
      <c:catAx>
        <c:axId val="47625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6257744"/>
        <c:crosses val="autoZero"/>
        <c:auto val="1"/>
        <c:lblAlgn val="ctr"/>
        <c:lblOffset val="100"/>
        <c:noMultiLvlLbl val="0"/>
      </c:catAx>
      <c:valAx>
        <c:axId val="4762577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76256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Daily Use per House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PARAMS!$AL$1</c:f>
              <c:strCache>
                <c:ptCount val="1"/>
                <c:pt idx="0">
                  <c:v>Avg_Daily_Used</c:v>
                </c:pt>
              </c:strCache>
            </c:strRef>
          </c:tx>
          <c:invertIfNegative val="0"/>
          <c:cat>
            <c:strRef>
              <c:f>PARAMS!$AK$2:$AK$3</c:f>
              <c:strCache>
                <c:ptCount val="2"/>
                <c:pt idx="0">
                  <c:v>House A</c:v>
                </c:pt>
                <c:pt idx="1">
                  <c:v>House B</c:v>
                </c:pt>
              </c:strCache>
            </c:strRef>
          </c:cat>
          <c:val>
            <c:numRef>
              <c:f>PARAMS!$AL$2:$AL$3</c:f>
              <c:numCache>
                <c:formatCode>General</c:formatCode>
                <c:ptCount val="2"/>
                <c:pt idx="0">
                  <c:v>18.761904761904763</c:v>
                </c:pt>
                <c:pt idx="1">
                  <c:v>17.928571428571427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0C-B347-B8AC-AA9149F28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271600"/>
        <c:axId val="412273312"/>
      </c:barChart>
      <c:catAx>
        <c:axId val="412271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12273312"/>
        <c:crosses val="autoZero"/>
        <c:auto val="1"/>
        <c:lblAlgn val="ctr"/>
        <c:lblOffset val="100"/>
        <c:noMultiLvlLbl val="0"/>
      </c:catAx>
      <c:valAx>
        <c:axId val="4122733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12271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Order Gaps (Days)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PARAMS!$AN$1</c:f>
              <c:strCache>
                <c:ptCount val="1"/>
                <c:pt idx="0">
                  <c:v>Order_Age</c:v>
                </c:pt>
              </c:strCache>
            </c:strRef>
          </c:tx>
          <c:invertIfNegative val="0"/>
          <c:val>
            <c:numRef>
              <c:f>PARAMS!$AN$2:$AN$100</c:f>
              <c:numCache>
                <c:formatCode>General</c:formatCode>
                <c:ptCount val="99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24</c:v>
                </c:pt>
                <c:pt idx="4">
                  <c:v>30</c:v>
                </c:pt>
                <c:pt idx="5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5-6145-82FC-9B348A56CD20}"/>
            </c:ext>
          </c:extLst>
        </c:ser>
        <c:ser>
          <c:idx val="1"/>
          <c:order val="1"/>
          <c:tx>
            <c:strRef>
              <c:f>PARAMS!$AO$1</c:f>
              <c:strCache>
                <c:ptCount val="1"/>
                <c:pt idx="0">
                  <c:v>Gap_From_Prev</c:v>
                </c:pt>
              </c:strCache>
            </c:strRef>
          </c:tx>
          <c:invertIfNegative val="0"/>
          <c:val>
            <c:numRef>
              <c:f>PARAMS!$AO$2:$AO$100</c:f>
              <c:numCache>
                <c:formatCode>General</c:formatCode>
                <c:ptCount val="99"/>
                <c:pt idx="0">
                  <c:v>0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5-6145-82FC-9B348A56C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020432"/>
        <c:axId val="412368064"/>
      </c:barChart>
      <c:catAx>
        <c:axId val="41302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412368064"/>
        <c:crosses val="autoZero"/>
        <c:auto val="1"/>
        <c:lblAlgn val="ctr"/>
        <c:lblOffset val="100"/>
        <c:noMultiLvlLbl val="0"/>
      </c:catAx>
      <c:valAx>
        <c:axId val="41236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302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Orders vs Usage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PARAMS!$AQ$1</c:f>
              <c:strCache>
                <c:ptCount val="1"/>
                <c:pt idx="0">
                  <c:v>Age</c:v>
                </c:pt>
              </c:strCache>
            </c:strRef>
          </c:tx>
          <c:val>
            <c:numRef>
              <c:f>PARAMS!$AQ$2:$AQ$43</c:f>
              <c:numCache>
                <c:formatCode>General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0B-B14C-8B95-8340C5DA1FE3}"/>
            </c:ext>
          </c:extLst>
        </c:ser>
        <c:ser>
          <c:idx val="1"/>
          <c:order val="1"/>
          <c:tx>
            <c:strRef>
              <c:f>PARAMS!$AR$1</c:f>
              <c:strCache>
                <c:ptCount val="1"/>
                <c:pt idx="0">
                  <c:v>Total_Ordered</c:v>
                </c:pt>
              </c:strCache>
            </c:strRef>
          </c:tx>
          <c:val>
            <c:numRef>
              <c:f>PARAMS!$AR$2:$AR$43</c:f>
              <c:numCache>
                <c:formatCode>General</c:formatCode>
                <c:ptCount val="42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0B-B14C-8B95-8340C5DA1FE3}"/>
            </c:ext>
          </c:extLst>
        </c:ser>
        <c:ser>
          <c:idx val="2"/>
          <c:order val="2"/>
          <c:tx>
            <c:strRef>
              <c:f>PARAMS!$AS$1</c:f>
              <c:strCache>
                <c:ptCount val="1"/>
                <c:pt idx="0">
                  <c:v>Total_Used</c:v>
                </c:pt>
              </c:strCache>
            </c:strRef>
          </c:tx>
          <c:val>
            <c:numRef>
              <c:f>PARAMS!$AS$2:$AS$43</c:f>
              <c:numCache>
                <c:formatCode>General</c:formatCode>
                <c:ptCount val="42"/>
                <c:pt idx="0">
                  <c:v>38</c:v>
                </c:pt>
                <c:pt idx="1">
                  <c:v>35</c:v>
                </c:pt>
                <c:pt idx="2">
                  <c:v>37</c:v>
                </c:pt>
                <c:pt idx="3">
                  <c:v>32</c:v>
                </c:pt>
                <c:pt idx="4">
                  <c:v>31</c:v>
                </c:pt>
                <c:pt idx="5">
                  <c:v>36</c:v>
                </c:pt>
                <c:pt idx="6">
                  <c:v>34</c:v>
                </c:pt>
                <c:pt idx="7">
                  <c:v>36</c:v>
                </c:pt>
                <c:pt idx="8">
                  <c:v>35</c:v>
                </c:pt>
                <c:pt idx="9">
                  <c:v>34</c:v>
                </c:pt>
                <c:pt idx="10">
                  <c:v>40</c:v>
                </c:pt>
                <c:pt idx="11">
                  <c:v>34</c:v>
                </c:pt>
                <c:pt idx="12">
                  <c:v>42</c:v>
                </c:pt>
                <c:pt idx="13">
                  <c:v>49</c:v>
                </c:pt>
                <c:pt idx="14">
                  <c:v>42</c:v>
                </c:pt>
                <c:pt idx="15">
                  <c:v>58</c:v>
                </c:pt>
                <c:pt idx="16">
                  <c:v>43</c:v>
                </c:pt>
                <c:pt idx="17">
                  <c:v>38</c:v>
                </c:pt>
                <c:pt idx="18">
                  <c:v>29</c:v>
                </c:pt>
                <c:pt idx="19">
                  <c:v>36</c:v>
                </c:pt>
                <c:pt idx="20">
                  <c:v>47</c:v>
                </c:pt>
                <c:pt idx="21">
                  <c:v>24</c:v>
                </c:pt>
                <c:pt idx="22">
                  <c:v>34</c:v>
                </c:pt>
                <c:pt idx="23">
                  <c:v>37</c:v>
                </c:pt>
                <c:pt idx="24">
                  <c:v>37</c:v>
                </c:pt>
                <c:pt idx="25">
                  <c:v>43</c:v>
                </c:pt>
                <c:pt idx="26">
                  <c:v>37</c:v>
                </c:pt>
                <c:pt idx="27">
                  <c:v>38</c:v>
                </c:pt>
                <c:pt idx="28">
                  <c:v>29</c:v>
                </c:pt>
                <c:pt idx="29">
                  <c:v>30</c:v>
                </c:pt>
                <c:pt idx="30">
                  <c:v>39</c:v>
                </c:pt>
                <c:pt idx="31">
                  <c:v>30</c:v>
                </c:pt>
                <c:pt idx="32">
                  <c:v>33</c:v>
                </c:pt>
                <c:pt idx="33">
                  <c:v>39</c:v>
                </c:pt>
                <c:pt idx="34">
                  <c:v>44</c:v>
                </c:pt>
                <c:pt idx="35">
                  <c:v>32</c:v>
                </c:pt>
                <c:pt idx="36">
                  <c:v>34</c:v>
                </c:pt>
                <c:pt idx="37">
                  <c:v>21</c:v>
                </c:pt>
                <c:pt idx="38">
                  <c:v>41</c:v>
                </c:pt>
                <c:pt idx="39">
                  <c:v>40</c:v>
                </c:pt>
                <c:pt idx="40">
                  <c:v>26</c:v>
                </c:pt>
                <c:pt idx="41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0B-B14C-8B95-8340C5DA1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889792"/>
        <c:axId val="476891504"/>
      </c:lineChart>
      <c:catAx>
        <c:axId val="476889792"/>
        <c:scaling>
          <c:orientation val="minMax"/>
        </c:scaling>
        <c:delete val="0"/>
        <c:axPos val="b"/>
        <c:majorTickMark val="out"/>
        <c:minorTickMark val="none"/>
        <c:tickLblPos val="nextTo"/>
        <c:crossAx val="476891504"/>
        <c:crosses val="autoZero"/>
        <c:auto val="1"/>
        <c:lblAlgn val="ctr"/>
        <c:lblOffset val="100"/>
        <c:noMultiLvlLbl val="0"/>
      </c:catAx>
      <c:valAx>
        <c:axId val="476891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688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6</xdr:row>
          <xdr:rowOff>177800</xdr:rowOff>
        </xdr:from>
        <xdr:to>
          <xdr:col>15</xdr:col>
          <xdr:colOff>25400</xdr:colOff>
          <xdr:row>8</xdr:row>
          <xdr:rowOff>165100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6</xdr:row>
          <xdr:rowOff>177800</xdr:rowOff>
        </xdr:from>
        <xdr:to>
          <xdr:col>15</xdr:col>
          <xdr:colOff>25400</xdr:colOff>
          <xdr:row>8</xdr:row>
          <xdr:rowOff>165100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0</xdr:row>
          <xdr:rowOff>254000</xdr:rowOff>
        </xdr:from>
        <xdr:to>
          <xdr:col>15</xdr:col>
          <xdr:colOff>25400</xdr:colOff>
          <xdr:row>2</xdr:row>
          <xdr:rowOff>165100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6</xdr:row>
          <xdr:rowOff>177800</xdr:rowOff>
        </xdr:from>
        <xdr:to>
          <xdr:col>15</xdr:col>
          <xdr:colOff>25400</xdr:colOff>
          <xdr:row>8</xdr:row>
          <xdr:rowOff>165100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</xdr:row>
          <xdr:rowOff>0</xdr:rowOff>
        </xdr:from>
        <xdr:to>
          <xdr:col>15</xdr:col>
          <xdr:colOff>12700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</xdr:row>
          <xdr:rowOff>0</xdr:rowOff>
        </xdr:from>
        <xdr:to>
          <xdr:col>15</xdr:col>
          <xdr:colOff>12700</xdr:colOff>
          <xdr:row>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596900</xdr:colOff>
          <xdr:row>1</xdr:row>
          <xdr:rowOff>12700</xdr:rowOff>
        </xdr:from>
        <xdr:to>
          <xdr:col>14</xdr:col>
          <xdr:colOff>596900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215900</xdr:colOff>
          <xdr:row>66</xdr:row>
          <xdr:rowOff>63500</xdr:rowOff>
        </xdr:from>
        <xdr:to>
          <xdr:col>24</xdr:col>
          <xdr:colOff>381000</xdr:colOff>
          <xdr:row>71</xdr:row>
          <xdr:rowOff>165100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0</xdr:row>
      <xdr:rowOff>101600</xdr:rowOff>
    </xdr:from>
    <xdr:to>
      <xdr:col>9</xdr:col>
      <xdr:colOff>190500</xdr:colOff>
      <xdr:row>1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9A61A42D-B01B-B7F0-2D3E-37B6526F227E}"/>
            </a:ext>
          </a:extLst>
        </xdr:cNvPr>
        <xdr:cNvSpPr/>
      </xdr:nvSpPr>
      <xdr:spPr>
        <a:xfrm>
          <a:off x="127000" y="101600"/>
          <a:ext cx="9652000" cy="254000"/>
        </a:xfrm>
        <a:prstGeom prst="roundRect">
          <a:avLst/>
        </a:prstGeom>
        <a:solidFill>
          <a:srgbClr val="EB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Broiler Feed &amp; Mortality Dashboard</a:t>
          </a:r>
        </a:p>
      </xdr:txBody>
    </xdr:sp>
    <xdr:clientData/>
  </xdr:twoCellAnchor>
  <xdr:twoCellAnchor>
    <xdr:from>
      <xdr:col>0</xdr:col>
      <xdr:colOff>127000</xdr:colOff>
      <xdr:row>0</xdr:row>
      <xdr:rowOff>101600</xdr:rowOff>
    </xdr:from>
    <xdr:to>
      <xdr:col>9</xdr:col>
      <xdr:colOff>190500</xdr:colOff>
      <xdr:row>1</xdr:row>
      <xdr:rowOff>152400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E59F73B4-0654-37E9-5C75-ECFDC86A1307}"/>
            </a:ext>
          </a:extLst>
        </xdr:cNvPr>
        <xdr:cNvSpPr/>
      </xdr:nvSpPr>
      <xdr:spPr>
        <a:xfrm>
          <a:off x="127000" y="101600"/>
          <a:ext cx="9652000" cy="254000"/>
        </a:xfrm>
        <a:prstGeom prst="roundRect">
          <a:avLst/>
        </a:prstGeom>
        <a:solidFill>
          <a:srgbClr val="EB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Broiler Feed &amp; Mortality Dashboard</a:t>
          </a:r>
        </a:p>
      </xdr:txBody>
    </xdr:sp>
    <xdr:clientData/>
  </xdr:twoCellAnchor>
  <xdr:twoCellAnchor>
    <xdr:from>
      <xdr:col>0</xdr:col>
      <xdr:colOff>127000</xdr:colOff>
      <xdr:row>0</xdr:row>
      <xdr:rowOff>101600</xdr:rowOff>
    </xdr:from>
    <xdr:to>
      <xdr:col>9</xdr:col>
      <xdr:colOff>190500</xdr:colOff>
      <xdr:row>1</xdr:row>
      <xdr:rowOff>152400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FBA24DA9-830C-0A56-61A2-A9515D18A341}"/>
            </a:ext>
          </a:extLst>
        </xdr:cNvPr>
        <xdr:cNvSpPr/>
      </xdr:nvSpPr>
      <xdr:spPr>
        <a:xfrm>
          <a:off x="127000" y="101600"/>
          <a:ext cx="9652000" cy="254000"/>
        </a:xfrm>
        <a:prstGeom prst="roundRect">
          <a:avLst/>
        </a:prstGeom>
        <a:solidFill>
          <a:srgbClr val="EB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Broiler Feed &amp; Mortality Dashboard</a:t>
          </a:r>
        </a:p>
      </xdr:txBody>
    </xdr:sp>
    <xdr:clientData/>
  </xdr:twoCellAnchor>
  <xdr:twoCellAnchor>
    <xdr:from>
      <xdr:col>0</xdr:col>
      <xdr:colOff>127000</xdr:colOff>
      <xdr:row>0</xdr:row>
      <xdr:rowOff>101600</xdr:rowOff>
    </xdr:from>
    <xdr:to>
      <xdr:col>9</xdr:col>
      <xdr:colOff>190500</xdr:colOff>
      <xdr:row>1</xdr:row>
      <xdr:rowOff>152400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DA5591FA-6347-AA1A-F921-2E143D2F523D}"/>
            </a:ext>
          </a:extLst>
        </xdr:cNvPr>
        <xdr:cNvSpPr/>
      </xdr:nvSpPr>
      <xdr:spPr>
        <a:xfrm>
          <a:off x="127000" y="101600"/>
          <a:ext cx="9652000" cy="254000"/>
        </a:xfrm>
        <a:prstGeom prst="roundRect">
          <a:avLst/>
        </a:prstGeom>
        <a:solidFill>
          <a:srgbClr val="EB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Broiler Feed &amp; Mortality Dashboard</a:t>
          </a:r>
        </a:p>
      </xdr:txBody>
    </xdr:sp>
    <xdr:clientData/>
  </xdr:twoCellAnchor>
  <xdr:twoCellAnchor>
    <xdr:from>
      <xdr:col>0</xdr:col>
      <xdr:colOff>127000</xdr:colOff>
      <xdr:row>0</xdr:row>
      <xdr:rowOff>101600</xdr:rowOff>
    </xdr:from>
    <xdr:to>
      <xdr:col>9</xdr:col>
      <xdr:colOff>190500</xdr:colOff>
      <xdr:row>1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2F2FCA72-45C5-8B14-773C-EC19297C350D}"/>
            </a:ext>
          </a:extLst>
        </xdr:cNvPr>
        <xdr:cNvSpPr/>
      </xdr:nvSpPr>
      <xdr:spPr>
        <a:xfrm>
          <a:off x="127000" y="101600"/>
          <a:ext cx="9652000" cy="254000"/>
        </a:xfrm>
        <a:prstGeom prst="roundRect">
          <a:avLst/>
        </a:prstGeom>
        <a:solidFill>
          <a:srgbClr val="EB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Broiler Feed &amp; Mortality Dashboard</a:t>
          </a:r>
        </a:p>
      </xdr:txBody>
    </xdr:sp>
    <xdr:clientData/>
  </xdr:twoCellAnchor>
  <xdr:twoCellAnchor>
    <xdr:from>
      <xdr:col>0</xdr:col>
      <xdr:colOff>0</xdr:colOff>
      <xdr:row>59</xdr:row>
      <xdr:rowOff>0</xdr:rowOff>
    </xdr:from>
    <xdr:to>
      <xdr:col>2</xdr:col>
      <xdr:colOff>1054100</xdr:colOff>
      <xdr:row>72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436348-4AD1-1E12-0ED8-8B38CDDBD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1282700</xdr:colOff>
      <xdr:row>59</xdr:row>
      <xdr:rowOff>0</xdr:rowOff>
    </xdr:from>
    <xdr:to>
      <xdr:col>7</xdr:col>
      <xdr:colOff>368300</xdr:colOff>
      <xdr:row>72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6095B7-FADA-BA70-F201-A1FC349AC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596900</xdr:colOff>
      <xdr:row>59</xdr:row>
      <xdr:rowOff>0</xdr:rowOff>
    </xdr:from>
    <xdr:to>
      <xdr:col>14</xdr:col>
      <xdr:colOff>76200</xdr:colOff>
      <xdr:row>72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4D21337-19A0-1E22-6F16-F816510E8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304800</xdr:colOff>
      <xdr:row>59</xdr:row>
      <xdr:rowOff>0</xdr:rowOff>
    </xdr:from>
    <xdr:to>
      <xdr:col>20</xdr:col>
      <xdr:colOff>457200</xdr:colOff>
      <xdr:row>72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09A8D79-49E4-9048-8F36-349300F9D9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73</xdr:row>
      <xdr:rowOff>177800</xdr:rowOff>
    </xdr:from>
    <xdr:to>
      <xdr:col>2</xdr:col>
      <xdr:colOff>1054100</xdr:colOff>
      <xdr:row>87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AC00831-6D6B-811B-957E-A8F2824A9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1282700</xdr:colOff>
      <xdr:row>73</xdr:row>
      <xdr:rowOff>177800</xdr:rowOff>
    </xdr:from>
    <xdr:to>
      <xdr:col>7</xdr:col>
      <xdr:colOff>368300</xdr:colOff>
      <xdr:row>87</xdr:row>
      <xdr:rowOff>50800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42E87C-A428-0EF0-7C17-C8A352AFBD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596900</xdr:colOff>
      <xdr:row>73</xdr:row>
      <xdr:rowOff>177800</xdr:rowOff>
    </xdr:from>
    <xdr:to>
      <xdr:col>14</xdr:col>
      <xdr:colOff>76200</xdr:colOff>
      <xdr:row>87</xdr:row>
      <xdr:rowOff>50800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C4EAE87-7AFA-CDF0-E8F9-11A24B082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304800</xdr:colOff>
      <xdr:row>73</xdr:row>
      <xdr:rowOff>177800</xdr:rowOff>
    </xdr:from>
    <xdr:to>
      <xdr:col>20</xdr:col>
      <xdr:colOff>457200</xdr:colOff>
      <xdr:row>87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6A49F39-53D5-B6A3-AFC3-1E5421544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88</xdr:row>
      <xdr:rowOff>165100</xdr:rowOff>
    </xdr:from>
    <xdr:to>
      <xdr:col>2</xdr:col>
      <xdr:colOff>1054100</xdr:colOff>
      <xdr:row>102</xdr:row>
      <xdr:rowOff>38100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C36EAF3-33B0-8B5E-3E5A-0C7A3EC655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1282700</xdr:colOff>
      <xdr:row>88</xdr:row>
      <xdr:rowOff>165100</xdr:rowOff>
    </xdr:from>
    <xdr:to>
      <xdr:col>7</xdr:col>
      <xdr:colOff>368300</xdr:colOff>
      <xdr:row>102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78C6BF1-8531-090C-1313-E327501D9C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596900</xdr:colOff>
      <xdr:row>88</xdr:row>
      <xdr:rowOff>165100</xdr:rowOff>
    </xdr:from>
    <xdr:to>
      <xdr:col>14</xdr:col>
      <xdr:colOff>76200</xdr:colOff>
      <xdr:row>102</xdr:row>
      <xdr:rowOff>38100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5C950C0-4D7A-1365-ADD1-E8FAD79C8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304800</xdr:colOff>
      <xdr:row>88</xdr:row>
      <xdr:rowOff>165100</xdr:rowOff>
    </xdr:from>
    <xdr:to>
      <xdr:col>20</xdr:col>
      <xdr:colOff>457200</xdr:colOff>
      <xdr:row>102</xdr:row>
      <xdr:rowOff>38100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C2390CA-2E15-A6C4-7073-36253F06F5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127000</xdr:colOff>
      <xdr:row>0</xdr:row>
      <xdr:rowOff>101600</xdr:rowOff>
    </xdr:from>
    <xdr:to>
      <xdr:col>9</xdr:col>
      <xdr:colOff>190500</xdr:colOff>
      <xdr:row>1</xdr:row>
      <xdr:rowOff>152400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DBA14188-2628-A317-AF01-278453B04422}"/>
            </a:ext>
          </a:extLst>
        </xdr:cNvPr>
        <xdr:cNvSpPr/>
      </xdr:nvSpPr>
      <xdr:spPr>
        <a:xfrm>
          <a:off x="127000" y="101600"/>
          <a:ext cx="9652000" cy="254000"/>
        </a:xfrm>
        <a:prstGeom prst="roundRect">
          <a:avLst/>
        </a:prstGeom>
        <a:solidFill>
          <a:srgbClr val="EB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Broiler Feed &amp; Mortality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</xdr:row>
          <xdr:rowOff>0</xdr:rowOff>
        </xdr:from>
        <xdr:to>
          <xdr:col>15</xdr:col>
          <xdr:colOff>12700</xdr:colOff>
          <xdr:row>3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A3EB308D-F4B3-BC48-A8D9-9787240E0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</xdr:row>
          <xdr:rowOff>0</xdr:rowOff>
        </xdr:from>
        <xdr:to>
          <xdr:col>15</xdr:col>
          <xdr:colOff>12700</xdr:colOff>
          <xdr:row>3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3BAF2253-29C4-104B-823C-821F20D21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D2933-7D81-4DA1-9710-DB71778DC408}">
  <sheetPr codeName="Sheet9"/>
  <dimension ref="A1:L85"/>
  <sheetViews>
    <sheetView zoomScale="132" workbookViewId="0">
      <selection activeCell="L6" sqref="L6"/>
    </sheetView>
  </sheetViews>
  <sheetFormatPr baseColWidth="10" defaultColWidth="8.83203125" defaultRowHeight="15"/>
  <cols>
    <col min="1" max="1" width="10.5" customWidth="1"/>
    <col min="6" max="6" width="12.6640625" customWidth="1"/>
    <col min="7" max="7" width="10.5" customWidth="1"/>
    <col min="8" max="8" width="21.83203125" customWidth="1"/>
    <col min="9" max="9" width="6.83203125" customWidth="1"/>
    <col min="10" max="10" width="35.33203125" customWidth="1"/>
    <col min="11" max="11" width="25.1640625" customWidth="1"/>
    <col min="12" max="12" width="19.1640625" customWidth="1"/>
  </cols>
  <sheetData>
    <row r="1" spans="1:12" ht="13.25" customHeight="1">
      <c r="A1" s="11" t="s">
        <v>7</v>
      </c>
      <c r="B1" s="4" t="s">
        <v>10</v>
      </c>
      <c r="C1" s="11" t="s">
        <v>6</v>
      </c>
      <c r="D1" s="1" t="s">
        <v>8</v>
      </c>
      <c r="E1" s="11" t="s">
        <v>9</v>
      </c>
      <c r="F1" s="12" t="s">
        <v>0</v>
      </c>
      <c r="G1" s="13" t="s">
        <v>1</v>
      </c>
      <c r="H1" s="2" t="s">
        <v>14</v>
      </c>
      <c r="I1" s="1"/>
      <c r="J1" s="1"/>
      <c r="K1" s="1" t="s">
        <v>13</v>
      </c>
      <c r="L1" s="1">
        <f>L2+L3</f>
        <v>24000</v>
      </c>
    </row>
    <row r="2" spans="1:12">
      <c r="A2" s="3"/>
      <c r="B2" s="4"/>
      <c r="D2" s="1"/>
      <c r="G2" s="1"/>
      <c r="H2" s="1"/>
      <c r="I2" s="1"/>
      <c r="J2" s="1"/>
      <c r="K2" s="1" t="s">
        <v>16</v>
      </c>
      <c r="L2" s="1">
        <v>11000</v>
      </c>
    </row>
    <row r="3" spans="1:12">
      <c r="A3" s="3"/>
      <c r="B3" s="4"/>
      <c r="D3" s="1"/>
      <c r="G3" s="1"/>
      <c r="H3" s="1"/>
      <c r="I3" s="1"/>
      <c r="J3" s="1"/>
      <c r="K3" s="1" t="s">
        <v>15</v>
      </c>
      <c r="L3" s="1">
        <v>13000</v>
      </c>
    </row>
    <row r="4" spans="1:12">
      <c r="A4" s="3"/>
      <c r="B4" s="4"/>
      <c r="D4" s="1"/>
      <c r="G4" s="1"/>
      <c r="H4" s="1"/>
      <c r="I4" s="1"/>
      <c r="J4" s="1"/>
      <c r="K4" s="1"/>
      <c r="L4" s="1"/>
    </row>
    <row r="5" spans="1:12">
      <c r="A5" s="3"/>
      <c r="B5" s="4"/>
      <c r="D5" s="1"/>
      <c r="G5" s="1"/>
      <c r="H5" s="1"/>
      <c r="I5" s="1"/>
      <c r="J5" s="1"/>
      <c r="K5" s="1"/>
      <c r="L5" s="1"/>
    </row>
    <row r="6" spans="1:12">
      <c r="A6" s="3"/>
      <c r="B6" s="4"/>
      <c r="D6" s="1"/>
      <c r="G6" s="1"/>
      <c r="H6" s="1"/>
      <c r="I6" s="1"/>
      <c r="J6" s="1"/>
      <c r="K6" s="1" t="s">
        <v>58</v>
      </c>
      <c r="L6" s="1">
        <v>6</v>
      </c>
    </row>
    <row r="7" spans="1:12">
      <c r="A7" s="3"/>
      <c r="B7" s="4"/>
      <c r="D7" s="1"/>
      <c r="G7" s="1"/>
      <c r="H7" s="1"/>
      <c r="I7" s="1"/>
      <c r="J7" s="1"/>
      <c r="K7" s="1"/>
      <c r="L7" s="1"/>
    </row>
    <row r="8" spans="1:12">
      <c r="A8" s="3"/>
      <c r="B8" s="4"/>
      <c r="D8" s="1"/>
      <c r="G8" s="1"/>
      <c r="H8" s="1"/>
      <c r="I8" s="1"/>
      <c r="J8" s="1"/>
      <c r="K8" s="1"/>
      <c r="L8" s="1"/>
    </row>
    <row r="9" spans="1:12">
      <c r="A9" s="3"/>
      <c r="B9" s="4"/>
      <c r="D9" s="1"/>
      <c r="G9" s="1"/>
      <c r="H9" s="1"/>
      <c r="I9" s="1"/>
      <c r="J9" s="1"/>
      <c r="K9" s="1"/>
      <c r="L9" s="1"/>
    </row>
    <row r="10" spans="1:12">
      <c r="A10" s="3"/>
      <c r="B10" s="4"/>
      <c r="D10" s="1"/>
      <c r="G10" s="1"/>
      <c r="H10" s="1"/>
      <c r="I10" s="1"/>
      <c r="J10" s="1"/>
      <c r="K10" s="1"/>
      <c r="L10" s="1"/>
    </row>
    <row r="11" spans="1:12">
      <c r="A11" s="3"/>
      <c r="B11" s="4"/>
      <c r="D11" s="1"/>
      <c r="G11" s="1"/>
      <c r="H11" s="1"/>
      <c r="I11" s="1"/>
      <c r="J11" s="1"/>
      <c r="K11" s="1"/>
      <c r="L11" s="1"/>
    </row>
    <row r="12" spans="1:12">
      <c r="A12" s="3"/>
      <c r="B12" s="4"/>
      <c r="D12" s="1"/>
      <c r="G12" s="1"/>
      <c r="H12" s="1"/>
      <c r="I12" s="1"/>
      <c r="J12" s="1"/>
      <c r="K12" s="1"/>
      <c r="L12" s="1"/>
    </row>
    <row r="13" spans="1:12">
      <c r="A13" s="3"/>
      <c r="B13" s="4"/>
      <c r="D13" s="1"/>
      <c r="G13" s="1"/>
      <c r="H13" s="1"/>
      <c r="I13" s="1"/>
      <c r="J13" s="1"/>
      <c r="K13" s="1"/>
      <c r="L13" s="1"/>
    </row>
    <row r="14" spans="1:12">
      <c r="A14" s="3"/>
      <c r="B14" s="4"/>
      <c r="D14" s="1"/>
      <c r="G14" s="1"/>
      <c r="H14" s="1"/>
      <c r="I14" s="1"/>
      <c r="J14" s="1"/>
      <c r="K14" s="1"/>
      <c r="L14" s="1"/>
    </row>
    <row r="15" spans="1:12">
      <c r="A15" s="3"/>
      <c r="B15" s="4"/>
      <c r="D15" s="1"/>
      <c r="G15" s="1"/>
      <c r="H15" s="1"/>
      <c r="I15" s="1"/>
      <c r="J15" s="1"/>
      <c r="K15" s="1"/>
      <c r="L15" s="1"/>
    </row>
    <row r="16" spans="1:12">
      <c r="A16" s="3"/>
      <c r="B16" s="4"/>
      <c r="D16" s="1"/>
      <c r="G16" s="1"/>
      <c r="H16" s="1"/>
      <c r="I16" s="1"/>
      <c r="J16" s="1"/>
      <c r="K16" s="1"/>
      <c r="L16" s="1"/>
    </row>
    <row r="17" spans="1:12">
      <c r="A17" s="3"/>
      <c r="B17" s="4"/>
      <c r="D17" s="1"/>
      <c r="G17" s="1"/>
      <c r="H17" s="1"/>
      <c r="I17" s="1"/>
      <c r="J17" s="1"/>
      <c r="K17" s="1"/>
      <c r="L17" s="1"/>
    </row>
    <row r="18" spans="1:12">
      <c r="A18" s="3"/>
      <c r="B18" s="4"/>
      <c r="D18" s="1"/>
      <c r="G18" s="1"/>
      <c r="H18" s="1"/>
      <c r="I18" s="1"/>
      <c r="J18" s="1"/>
      <c r="K18" s="1"/>
      <c r="L18" s="1"/>
    </row>
    <row r="19" spans="1:12">
      <c r="A19" s="3"/>
      <c r="B19" s="4"/>
      <c r="D19" s="1"/>
      <c r="G19" s="1"/>
      <c r="H19" s="1"/>
      <c r="I19" s="1"/>
      <c r="J19" s="1"/>
      <c r="K19" s="1"/>
      <c r="L19" s="1"/>
    </row>
    <row r="20" spans="1:12">
      <c r="A20" s="3"/>
      <c r="B20" s="4"/>
      <c r="D20" s="1"/>
      <c r="G20" s="1"/>
      <c r="H20" s="1"/>
      <c r="I20" s="1"/>
      <c r="J20" s="1"/>
      <c r="K20" s="1"/>
      <c r="L20" s="1"/>
    </row>
    <row r="21" spans="1:12">
      <c r="A21" s="3"/>
      <c r="B21" s="4"/>
      <c r="D21" s="1"/>
      <c r="G21" s="1"/>
      <c r="H21" s="1"/>
      <c r="I21" s="1"/>
      <c r="J21" s="1"/>
      <c r="K21" s="1"/>
      <c r="L21" s="1"/>
    </row>
    <row r="22" spans="1:12">
      <c r="A22" s="3"/>
      <c r="B22" s="4"/>
      <c r="D22" s="1"/>
      <c r="G22" s="1"/>
      <c r="H22" s="1"/>
      <c r="I22" s="1"/>
      <c r="J22" s="1"/>
      <c r="K22" s="1"/>
      <c r="L22" s="1"/>
    </row>
    <row r="23" spans="1:12">
      <c r="A23" s="3"/>
      <c r="B23" s="4"/>
      <c r="D23" s="1"/>
      <c r="G23" s="1"/>
      <c r="H23" s="1"/>
      <c r="I23" s="1"/>
      <c r="J23" s="1"/>
      <c r="K23" s="1"/>
      <c r="L23" s="1"/>
    </row>
    <row r="24" spans="1:12">
      <c r="A24" s="3"/>
      <c r="B24" s="4"/>
      <c r="D24" s="1"/>
      <c r="G24" s="1"/>
      <c r="H24" s="1"/>
      <c r="I24" s="1"/>
      <c r="J24" s="1"/>
      <c r="K24" s="1"/>
      <c r="L24" s="1"/>
    </row>
    <row r="25" spans="1:12">
      <c r="A25" s="3"/>
      <c r="B25" s="4"/>
      <c r="D25" s="1"/>
      <c r="G25" s="1"/>
      <c r="H25" s="1"/>
      <c r="I25" s="1"/>
      <c r="J25" s="1"/>
      <c r="K25" s="1"/>
      <c r="L25" s="1"/>
    </row>
    <row r="26" spans="1:12">
      <c r="A26" s="3"/>
      <c r="B26" s="4"/>
      <c r="D26" s="1"/>
      <c r="G26" s="1"/>
      <c r="H26" s="1"/>
      <c r="I26" s="1"/>
      <c r="J26" s="1"/>
      <c r="K26" s="1"/>
      <c r="L26" s="1"/>
    </row>
    <row r="27" spans="1:12">
      <c r="A27" s="3"/>
      <c r="B27" s="4"/>
      <c r="D27" s="1"/>
      <c r="G27" s="1"/>
      <c r="H27" s="1"/>
      <c r="I27" s="1"/>
      <c r="J27" s="1"/>
      <c r="K27" s="1"/>
      <c r="L27" s="1"/>
    </row>
    <row r="28" spans="1:12">
      <c r="A28" s="3"/>
      <c r="B28" s="4"/>
      <c r="D28" s="1"/>
      <c r="G28" s="1"/>
      <c r="H28" s="1"/>
      <c r="I28" s="1"/>
      <c r="J28" s="1"/>
      <c r="K28" s="1"/>
      <c r="L28" s="1"/>
    </row>
    <row r="29" spans="1:12">
      <c r="A29" s="3"/>
      <c r="B29" s="4"/>
      <c r="D29" s="1"/>
      <c r="G29" s="1"/>
      <c r="H29" s="1"/>
      <c r="I29" s="1"/>
      <c r="J29" s="1"/>
      <c r="K29" s="1"/>
      <c r="L29" s="1"/>
    </row>
    <row r="30" spans="1:12">
      <c r="A30" s="3"/>
      <c r="B30" s="4"/>
      <c r="D30" s="1"/>
      <c r="G30" s="1"/>
      <c r="H30" s="1"/>
      <c r="I30" s="1"/>
      <c r="J30" s="1"/>
      <c r="K30" s="1"/>
      <c r="L30" s="1"/>
    </row>
    <row r="31" spans="1:12">
      <c r="A31" s="3"/>
      <c r="B31" s="4"/>
      <c r="D31" s="1"/>
      <c r="G31" s="1"/>
      <c r="H31" s="1"/>
      <c r="I31" s="1"/>
      <c r="J31" s="1"/>
      <c r="K31" s="1"/>
      <c r="L31" s="1"/>
    </row>
    <row r="32" spans="1:12">
      <c r="A32" s="3"/>
      <c r="B32" s="4"/>
      <c r="D32" s="1"/>
      <c r="G32" s="1"/>
      <c r="H32" s="1"/>
      <c r="I32" s="1"/>
      <c r="J32" s="1"/>
      <c r="K32" s="1"/>
      <c r="L32" s="1"/>
    </row>
    <row r="33" spans="1:12">
      <c r="A33" s="3"/>
      <c r="B33" s="4"/>
      <c r="D33" s="1"/>
      <c r="G33" s="1"/>
      <c r="H33" s="1"/>
      <c r="I33" s="1"/>
      <c r="J33" s="1"/>
      <c r="K33" s="1"/>
      <c r="L33" s="1"/>
    </row>
    <row r="34" spans="1:12">
      <c r="A34" s="3"/>
      <c r="B34" s="4"/>
      <c r="D34" s="1"/>
      <c r="G34" s="1"/>
      <c r="H34" s="1"/>
      <c r="I34" s="1"/>
      <c r="J34" s="1"/>
      <c r="K34" s="1"/>
      <c r="L34" s="1"/>
    </row>
    <row r="35" spans="1:12">
      <c r="A35" s="3"/>
      <c r="B35" s="4"/>
      <c r="D35" s="1"/>
      <c r="G35" s="1"/>
      <c r="H35" s="1"/>
      <c r="I35" s="1"/>
      <c r="J35" s="1"/>
      <c r="K35" s="1"/>
      <c r="L35" s="1"/>
    </row>
    <row r="36" spans="1:12">
      <c r="A36" s="3"/>
      <c r="B36" s="4"/>
      <c r="D36" s="1"/>
      <c r="G36" s="1"/>
      <c r="H36" s="1"/>
      <c r="I36" s="1"/>
      <c r="J36" s="1"/>
      <c r="K36" s="1"/>
      <c r="L36" s="1"/>
    </row>
    <row r="37" spans="1:12">
      <c r="A37" s="3"/>
      <c r="B37" s="4"/>
      <c r="D37" s="1"/>
      <c r="G37" s="1"/>
      <c r="H37" s="1"/>
      <c r="I37" s="1"/>
      <c r="J37" s="1"/>
      <c r="K37" s="1"/>
      <c r="L37" s="1"/>
    </row>
    <row r="38" spans="1:12">
      <c r="A38" s="3"/>
      <c r="B38" s="4"/>
      <c r="D38" s="1"/>
      <c r="G38" s="1"/>
      <c r="H38" s="1"/>
      <c r="I38" s="1"/>
      <c r="J38" s="1"/>
      <c r="K38" s="1"/>
      <c r="L38" s="1"/>
    </row>
    <row r="39" spans="1:12">
      <c r="A39" s="3"/>
      <c r="B39" s="4"/>
      <c r="D39" s="1"/>
      <c r="G39" s="1"/>
      <c r="H39" s="1"/>
      <c r="I39" s="1"/>
      <c r="J39" s="1"/>
      <c r="K39" s="1"/>
      <c r="L39" s="1"/>
    </row>
    <row r="40" spans="1:12">
      <c r="A40" s="3"/>
      <c r="B40" s="4"/>
      <c r="D40" s="1"/>
      <c r="G40" s="1"/>
      <c r="H40" s="1"/>
      <c r="I40" s="1"/>
      <c r="J40" s="1"/>
      <c r="K40" s="1"/>
      <c r="L40" s="1"/>
    </row>
    <row r="41" spans="1:12">
      <c r="A41" s="3"/>
      <c r="B41" s="4"/>
      <c r="D41" s="1"/>
      <c r="G41" s="1"/>
      <c r="H41" s="1"/>
      <c r="I41" s="1"/>
      <c r="J41" s="1"/>
      <c r="K41" s="1"/>
      <c r="L41" s="1"/>
    </row>
    <row r="42" spans="1:12">
      <c r="A42" s="3"/>
      <c r="B42" s="4"/>
      <c r="D42" s="1"/>
      <c r="G42" s="1"/>
      <c r="H42" s="1"/>
      <c r="I42" s="1"/>
      <c r="J42" s="1"/>
      <c r="K42" s="1"/>
      <c r="L42" s="1"/>
    </row>
    <row r="43" spans="1:12">
      <c r="A43" s="3"/>
      <c r="B43" s="4"/>
      <c r="D43" s="1"/>
      <c r="G43" s="1"/>
      <c r="H43" s="1"/>
      <c r="I43" s="1"/>
      <c r="J43" s="1"/>
      <c r="K43" s="1"/>
      <c r="L43" s="1"/>
    </row>
    <row r="44" spans="1:12">
      <c r="A44" s="3"/>
      <c r="B44" s="4"/>
      <c r="D44" s="1"/>
      <c r="G44" s="1"/>
      <c r="H44" s="1"/>
      <c r="I44" s="1"/>
      <c r="J44" s="1"/>
      <c r="K44" s="1"/>
      <c r="L44" s="1"/>
    </row>
    <row r="45" spans="1:12">
      <c r="A45" s="3"/>
      <c r="B45" s="4"/>
      <c r="D45" s="1"/>
      <c r="G45" s="1"/>
      <c r="H45" s="1"/>
      <c r="I45" s="1"/>
      <c r="J45" s="1"/>
      <c r="K45" s="1"/>
      <c r="L45" s="1"/>
    </row>
    <row r="46" spans="1:12">
      <c r="A46" s="3"/>
      <c r="B46" s="4"/>
      <c r="D46" s="1"/>
      <c r="G46" s="1"/>
      <c r="H46" s="1"/>
      <c r="I46" s="1"/>
      <c r="J46" s="1"/>
      <c r="K46" s="1"/>
      <c r="L46" s="1"/>
    </row>
    <row r="47" spans="1:12">
      <c r="A47" s="3"/>
      <c r="B47" s="4"/>
      <c r="D47" s="1"/>
      <c r="G47" s="1"/>
      <c r="H47" s="1"/>
      <c r="I47" s="1"/>
      <c r="J47" s="1"/>
      <c r="K47" s="1"/>
      <c r="L47" s="1"/>
    </row>
    <row r="48" spans="1:12">
      <c r="A48" s="3"/>
      <c r="B48" s="4"/>
      <c r="D48" s="1"/>
      <c r="G48" s="1"/>
      <c r="H48" s="1"/>
      <c r="I48" s="1"/>
      <c r="J48" s="1"/>
      <c r="K48" s="1"/>
      <c r="L48" s="1"/>
    </row>
    <row r="49" spans="1:12">
      <c r="A49" s="3"/>
      <c r="B49" s="4"/>
      <c r="D49" s="1"/>
      <c r="G49" s="1"/>
      <c r="H49" s="1"/>
      <c r="I49" s="1"/>
      <c r="J49" s="1"/>
      <c r="K49" s="1"/>
      <c r="L49" s="1"/>
    </row>
    <row r="50" spans="1:12">
      <c r="A50" s="3"/>
      <c r="B50" s="4"/>
      <c r="D50" s="1"/>
      <c r="G50" s="1"/>
      <c r="H50" s="1"/>
      <c r="I50" s="1"/>
      <c r="J50" s="1"/>
      <c r="K50" s="1"/>
      <c r="L50" s="1"/>
    </row>
    <row r="51" spans="1:12">
      <c r="A51" s="3"/>
      <c r="B51" s="4"/>
      <c r="D51" s="1"/>
      <c r="G51" s="1"/>
      <c r="H51" s="1"/>
      <c r="I51" s="1"/>
      <c r="J51" s="1"/>
      <c r="K51" s="1"/>
      <c r="L51" s="1"/>
    </row>
    <row r="52" spans="1:12">
      <c r="A52" s="3"/>
      <c r="B52" s="4"/>
      <c r="D52" s="1"/>
      <c r="G52" s="1"/>
      <c r="H52" s="1"/>
      <c r="I52" s="1"/>
      <c r="J52" s="1"/>
      <c r="K52" s="1"/>
      <c r="L52" s="1"/>
    </row>
    <row r="53" spans="1:12">
      <c r="A53" s="3"/>
      <c r="B53" s="4"/>
      <c r="D53" s="1"/>
      <c r="G53" s="1"/>
      <c r="H53" s="1"/>
      <c r="I53" s="1"/>
      <c r="J53" s="1"/>
      <c r="K53" s="1"/>
      <c r="L53" s="1"/>
    </row>
    <row r="54" spans="1:12">
      <c r="A54" s="3"/>
      <c r="B54" s="4"/>
      <c r="D54" s="1"/>
      <c r="G54" s="1"/>
      <c r="H54" s="1"/>
      <c r="I54" s="1"/>
      <c r="J54" s="1"/>
      <c r="K54" s="1"/>
      <c r="L54" s="1"/>
    </row>
    <row r="55" spans="1:12">
      <c r="A55" s="3"/>
      <c r="B55" s="4"/>
      <c r="D55" s="1"/>
      <c r="G55" s="1"/>
      <c r="H55" s="1"/>
      <c r="I55" s="1"/>
      <c r="J55" s="1"/>
      <c r="K55" s="1"/>
      <c r="L55" s="1"/>
    </row>
    <row r="56" spans="1:12">
      <c r="A56" s="3"/>
      <c r="B56" s="4"/>
      <c r="D56" s="1"/>
      <c r="G56" s="1"/>
      <c r="H56" s="1"/>
      <c r="I56" s="1"/>
      <c r="J56" s="1"/>
      <c r="K56" s="1"/>
      <c r="L56" s="1"/>
    </row>
    <row r="57" spans="1:12">
      <c r="A57" s="3"/>
      <c r="B57" s="4"/>
      <c r="D57" s="1"/>
      <c r="G57" s="1"/>
      <c r="H57" s="1"/>
      <c r="I57" s="1"/>
      <c r="J57" s="1"/>
      <c r="K57" s="1"/>
      <c r="L57" s="1"/>
    </row>
    <row r="58" spans="1:12">
      <c r="A58" s="3"/>
      <c r="B58" s="4"/>
      <c r="D58" s="1"/>
      <c r="G58" s="1"/>
      <c r="H58" s="1"/>
      <c r="I58" s="1"/>
      <c r="J58" s="1"/>
      <c r="K58" s="1"/>
      <c r="L58" s="1"/>
    </row>
    <row r="59" spans="1:12">
      <c r="A59" s="3"/>
      <c r="B59" s="4"/>
      <c r="D59" s="1"/>
      <c r="G59" s="1"/>
      <c r="H59" s="1"/>
      <c r="I59" s="1"/>
      <c r="J59" s="1"/>
      <c r="K59" s="1"/>
      <c r="L59" s="1"/>
    </row>
    <row r="60" spans="1:12">
      <c r="A60" s="3"/>
      <c r="B60" s="4"/>
      <c r="D60" s="1"/>
      <c r="G60" s="1"/>
      <c r="H60" s="1"/>
      <c r="I60" s="1"/>
      <c r="J60" s="1"/>
      <c r="K60" s="1"/>
      <c r="L60" s="1"/>
    </row>
    <row r="61" spans="1:12">
      <c r="A61" s="3"/>
      <c r="B61" s="4"/>
      <c r="D61" s="1"/>
      <c r="G61" s="1"/>
      <c r="H61" s="1"/>
      <c r="I61" s="1"/>
      <c r="J61" s="1"/>
      <c r="K61" s="1"/>
      <c r="L61" s="1"/>
    </row>
    <row r="62" spans="1:12">
      <c r="A62" s="3"/>
      <c r="B62" s="4"/>
      <c r="D62" s="1"/>
      <c r="G62" s="1"/>
      <c r="H62" s="1"/>
      <c r="I62" s="1"/>
      <c r="J62" s="1"/>
      <c r="K62" s="1"/>
      <c r="L62" s="1"/>
    </row>
    <row r="63" spans="1:12">
      <c r="A63" s="3"/>
      <c r="B63" s="4"/>
      <c r="D63" s="1"/>
      <c r="G63" s="1"/>
      <c r="H63" s="1"/>
      <c r="I63" s="1"/>
      <c r="J63" s="1"/>
      <c r="K63" s="1"/>
      <c r="L63" s="1"/>
    </row>
    <row r="64" spans="1:12">
      <c r="A64" s="3"/>
      <c r="B64" s="4"/>
      <c r="D64" s="1"/>
      <c r="G64" s="1"/>
      <c r="H64" s="1"/>
      <c r="I64" s="1"/>
      <c r="J64" s="1"/>
      <c r="K64" s="1"/>
      <c r="L64" s="1"/>
    </row>
    <row r="65" spans="1:12">
      <c r="A65" s="3"/>
      <c r="B65" s="4"/>
      <c r="D65" s="1"/>
      <c r="G65" s="1"/>
      <c r="H65" s="1"/>
      <c r="I65" s="1"/>
      <c r="J65" s="1"/>
      <c r="K65" s="1"/>
      <c r="L65" s="1"/>
    </row>
    <row r="66" spans="1:12">
      <c r="A66" s="3"/>
      <c r="B66" s="4"/>
      <c r="D66" s="1"/>
      <c r="G66" s="1"/>
      <c r="H66" s="1"/>
      <c r="I66" s="1"/>
      <c r="J66" s="1"/>
      <c r="K66" s="1"/>
      <c r="L66" s="1"/>
    </row>
    <row r="67" spans="1:12">
      <c r="A67" s="3"/>
      <c r="B67" s="4"/>
      <c r="D67" s="1"/>
      <c r="G67" s="1"/>
      <c r="H67" s="1"/>
      <c r="I67" s="1"/>
      <c r="J67" s="1"/>
      <c r="K67" s="1"/>
      <c r="L67" s="1"/>
    </row>
    <row r="68" spans="1:12">
      <c r="A68" s="3"/>
      <c r="B68" s="4"/>
      <c r="D68" s="1"/>
      <c r="G68" s="1"/>
      <c r="H68" s="1"/>
      <c r="I68" s="1"/>
      <c r="J68" s="1"/>
      <c r="K68" s="1"/>
      <c r="L68" s="1"/>
    </row>
    <row r="69" spans="1:12">
      <c r="A69" s="3"/>
      <c r="B69" s="4"/>
      <c r="D69" s="1"/>
      <c r="G69" s="1"/>
      <c r="H69" s="1"/>
      <c r="I69" s="1"/>
      <c r="J69" s="1"/>
      <c r="K69" s="1"/>
      <c r="L69" s="1"/>
    </row>
    <row r="70" spans="1:12">
      <c r="A70" s="3"/>
      <c r="B70" s="4"/>
      <c r="D70" s="1"/>
      <c r="G70" s="1"/>
      <c r="H70" s="1"/>
      <c r="I70" s="1"/>
      <c r="J70" s="1"/>
      <c r="K70" s="1"/>
      <c r="L70" s="1"/>
    </row>
    <row r="71" spans="1:12">
      <c r="A71" s="3"/>
      <c r="B71" s="4"/>
      <c r="D71" s="1"/>
      <c r="G71" s="1"/>
      <c r="H71" s="1"/>
      <c r="I71" s="1"/>
      <c r="J71" s="1"/>
      <c r="K71" s="1"/>
      <c r="L71" s="1"/>
    </row>
    <row r="72" spans="1:12">
      <c r="A72" s="3"/>
      <c r="B72" s="4"/>
      <c r="D72" s="1"/>
      <c r="G72" s="1"/>
      <c r="H72" s="1"/>
      <c r="I72" s="1"/>
      <c r="J72" s="1"/>
      <c r="K72" s="1"/>
      <c r="L72" s="1"/>
    </row>
    <row r="73" spans="1:12">
      <c r="A73" s="3"/>
      <c r="B73" s="4"/>
      <c r="D73" s="1"/>
      <c r="G73" s="1"/>
      <c r="H73" s="1"/>
      <c r="I73" s="1"/>
      <c r="J73" s="1"/>
      <c r="K73" s="1"/>
      <c r="L73" s="1"/>
    </row>
    <row r="74" spans="1:12">
      <c r="A74" s="3"/>
      <c r="B74" s="4"/>
      <c r="D74" s="1"/>
      <c r="G74" s="1"/>
      <c r="H74" s="1"/>
      <c r="I74" s="1"/>
      <c r="J74" s="1"/>
      <c r="K74" s="1"/>
      <c r="L74" s="1"/>
    </row>
    <row r="75" spans="1:12">
      <c r="A75" s="3"/>
      <c r="B75" s="4"/>
      <c r="D75" s="1"/>
      <c r="G75" s="1"/>
      <c r="H75" s="1"/>
      <c r="I75" s="1"/>
      <c r="J75" s="1"/>
      <c r="K75" s="1"/>
      <c r="L75" s="1"/>
    </row>
    <row r="76" spans="1:12">
      <c r="A76" s="3"/>
      <c r="B76" s="4"/>
      <c r="D76" s="1"/>
      <c r="G76" s="1"/>
      <c r="H76" s="1"/>
      <c r="I76" s="1"/>
      <c r="J76" s="1"/>
      <c r="K76" s="1"/>
      <c r="L76" s="1"/>
    </row>
    <row r="77" spans="1:12">
      <c r="A77" s="3"/>
      <c r="B77" s="4"/>
      <c r="D77" s="1"/>
      <c r="G77" s="1"/>
      <c r="H77" s="1"/>
      <c r="I77" s="1"/>
      <c r="J77" s="1"/>
      <c r="K77" s="1"/>
      <c r="L77" s="1"/>
    </row>
    <row r="78" spans="1:12">
      <c r="A78" s="3"/>
      <c r="B78" s="4"/>
      <c r="D78" s="1"/>
      <c r="G78" s="1"/>
      <c r="H78" s="1"/>
      <c r="I78" s="1"/>
      <c r="J78" s="1"/>
      <c r="K78" s="1"/>
      <c r="L78" s="1"/>
    </row>
    <row r="79" spans="1:12">
      <c r="A79" s="3"/>
      <c r="B79" s="4"/>
      <c r="D79" s="1"/>
      <c r="G79" s="1"/>
      <c r="H79" s="1"/>
      <c r="I79" s="1"/>
      <c r="J79" s="1"/>
      <c r="K79" s="1"/>
      <c r="L79" s="1"/>
    </row>
    <row r="80" spans="1:12">
      <c r="A80" s="3"/>
      <c r="B80" s="4"/>
      <c r="D80" s="1"/>
      <c r="G80" s="1"/>
      <c r="H80" s="1"/>
      <c r="I80" s="1"/>
      <c r="J80" s="1"/>
      <c r="K80" s="1"/>
      <c r="L80" s="1"/>
    </row>
    <row r="81" spans="1:12">
      <c r="A81" s="3"/>
      <c r="B81" s="4"/>
      <c r="D81" s="1"/>
      <c r="G81" s="1"/>
      <c r="H81" s="1"/>
      <c r="I81" s="1"/>
      <c r="J81" s="1"/>
      <c r="K81" s="1"/>
      <c r="L81" s="1"/>
    </row>
    <row r="82" spans="1:12">
      <c r="A82" s="3"/>
      <c r="B82" s="4"/>
      <c r="D82" s="1"/>
      <c r="G82" s="1"/>
      <c r="H82" s="1"/>
      <c r="I82" s="1"/>
      <c r="J82" s="1"/>
      <c r="K82" s="1"/>
      <c r="L82" s="1"/>
    </row>
    <row r="83" spans="1:12">
      <c r="A83" s="3"/>
      <c r="B83" s="4"/>
      <c r="D83" s="1"/>
      <c r="G83" s="1"/>
      <c r="H83" s="1"/>
      <c r="I83" s="1"/>
      <c r="J83" s="1"/>
      <c r="K83" s="1"/>
      <c r="L83" s="1"/>
    </row>
    <row r="84" spans="1:12">
      <c r="A84" s="3"/>
      <c r="B84" s="4"/>
      <c r="D84" s="1"/>
      <c r="G84" s="1"/>
      <c r="H84" s="1"/>
      <c r="I84" s="1"/>
      <c r="J84" s="1"/>
      <c r="K84" s="1"/>
      <c r="L84" s="1"/>
    </row>
    <row r="85" spans="1:12">
      <c r="A85" s="3"/>
      <c r="B85" s="4"/>
      <c r="D85" s="1"/>
      <c r="G85" s="1"/>
      <c r="H85" s="1"/>
      <c r="I85" s="1"/>
      <c r="J85" s="1"/>
      <c r="K85" s="1"/>
      <c r="L8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Button7_Click">
                <anchor moveWithCells="1" sizeWithCells="1">
                  <from>
                    <xdr:col>13</xdr:col>
                    <xdr:colOff>12700</xdr:colOff>
                    <xdr:row>6</xdr:row>
                    <xdr:rowOff>177800</xdr:rowOff>
                  </from>
                  <to>
                    <xdr:col>15</xdr:col>
                    <xdr:colOff>25400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Button 8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1" name="Button 9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2" name="Button 10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3" name="Button 11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4" name="Button 12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5" name="Button 13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6" name="Button 14">
              <controlPr defaultSize="0" print="0" autoFill="0" autoPict="0" macro="[0]!Button7_Click">
                <anchor moveWithCells="1" sizeWithCells="1">
                  <from>
                    <xdr:col>13</xdr:col>
                    <xdr:colOff>12700</xdr:colOff>
                    <xdr:row>6</xdr:row>
                    <xdr:rowOff>177800</xdr:rowOff>
                  </from>
                  <to>
                    <xdr:col>15</xdr:col>
                    <xdr:colOff>25400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7" name="Button 15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8" name="Button 16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19" name="Button 17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0" name="Button 18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1" name="Button 19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2" name="Button 20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0</xdr:row>
                    <xdr:rowOff>254000</xdr:rowOff>
                  </from>
                  <to>
                    <xdr:col>15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3" name="Button 21">
              <controlPr defaultSize="0" print="0" autoFill="0" autoPict="0" macro="[0]!Button7_Click">
                <anchor moveWithCells="1" sizeWithCells="1">
                  <from>
                    <xdr:col>13</xdr:col>
                    <xdr:colOff>12700</xdr:colOff>
                    <xdr:row>6</xdr:row>
                    <xdr:rowOff>177800</xdr:rowOff>
                  </from>
                  <to>
                    <xdr:col>15</xdr:col>
                    <xdr:colOff>25400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F77E5-E7C6-42E7-8AB8-303F749505CD}">
  <sheetPr codeName="Sheet5"/>
  <dimension ref="A1:G3"/>
  <sheetViews>
    <sheetView zoomScale="118" workbookViewId="0">
      <selection activeCell="F2" sqref="F2"/>
    </sheetView>
  </sheetViews>
  <sheetFormatPr baseColWidth="10" defaultColWidth="8.83203125" defaultRowHeight="15"/>
  <cols>
    <col min="1" max="1" width="18.5" style="1" customWidth="1"/>
    <col min="2" max="2" width="16.1640625" style="1" customWidth="1"/>
    <col min="3" max="3" width="17" style="1" customWidth="1"/>
    <col min="4" max="4" width="16" style="1" customWidth="1"/>
    <col min="5" max="5" width="12.6640625" style="1" customWidth="1"/>
    <col min="6" max="6" width="12.5" style="1" customWidth="1"/>
    <col min="7" max="7" width="22.83203125" style="1" customWidth="1"/>
    <col min="8" max="16384" width="8.83203125" style="1"/>
  </cols>
  <sheetData>
    <row r="1" spans="1:7" ht="16.75" customHeight="1">
      <c r="A1" s="1" t="s">
        <v>7</v>
      </c>
      <c r="B1" s="1" t="s">
        <v>10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14</v>
      </c>
    </row>
    <row r="2" spans="1:7">
      <c r="A2" s="14"/>
    </row>
    <row r="3" spans="1:7">
      <c r="A3" s="1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1</xdr:row>
                    <xdr:rowOff>0</xdr:rowOff>
                  </from>
                  <to>
                    <xdr:col>15</xdr:col>
                    <xdr:colOff>12700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1</xdr:row>
                    <xdr:rowOff>0</xdr:rowOff>
                  </from>
                  <to>
                    <xdr:col>15</xdr:col>
                    <xdr:colOff>12700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D262-10B9-4D50-9E35-7FB43A61BB9D}">
  <sheetPr codeName="Sheet4"/>
  <dimension ref="A1:L42"/>
  <sheetViews>
    <sheetView zoomScale="150" workbookViewId="0">
      <selection activeCell="N4" sqref="N4"/>
    </sheetView>
  </sheetViews>
  <sheetFormatPr baseColWidth="10" defaultColWidth="8.83203125" defaultRowHeight="15"/>
  <cols>
    <col min="8" max="8" width="8.83203125" style="1"/>
  </cols>
  <sheetData>
    <row r="1" spans="1:12">
      <c r="A1" t="s">
        <v>20</v>
      </c>
      <c r="G1" t="s">
        <v>22</v>
      </c>
      <c r="K1" s="1" t="s">
        <v>13</v>
      </c>
      <c r="L1" s="1">
        <v>20000</v>
      </c>
    </row>
    <row r="2" spans="1:12" ht="16">
      <c r="A2" t="s">
        <v>21</v>
      </c>
      <c r="G2" s="8" t="s">
        <v>51</v>
      </c>
      <c r="H2" s="9" t="s">
        <v>50</v>
      </c>
      <c r="I2" s="5"/>
      <c r="K2" s="1" t="s">
        <v>16</v>
      </c>
      <c r="L2" s="1">
        <v>9000</v>
      </c>
    </row>
    <row r="3" spans="1:12">
      <c r="G3">
        <v>1</v>
      </c>
      <c r="H3" s="1" t="s">
        <v>52</v>
      </c>
      <c r="I3" s="7"/>
      <c r="K3" s="1" t="s">
        <v>15</v>
      </c>
      <c r="L3" s="1">
        <v>11000</v>
      </c>
    </row>
    <row r="4" spans="1:12">
      <c r="G4">
        <v>2</v>
      </c>
      <c r="H4" s="1" t="s">
        <v>52</v>
      </c>
      <c r="I4" s="7"/>
      <c r="K4" s="1"/>
      <c r="L4" s="1"/>
    </row>
    <row r="5" spans="1:12">
      <c r="G5">
        <v>3</v>
      </c>
      <c r="H5" s="1" t="s">
        <v>52</v>
      </c>
      <c r="I5" s="7"/>
      <c r="K5" s="1"/>
      <c r="L5" s="1"/>
    </row>
    <row r="6" spans="1:12">
      <c r="G6">
        <v>4</v>
      </c>
      <c r="H6" s="1" t="s">
        <v>53</v>
      </c>
      <c r="I6" s="7"/>
      <c r="K6" s="1" t="s">
        <v>58</v>
      </c>
      <c r="L6" s="1">
        <v>7</v>
      </c>
    </row>
    <row r="7" spans="1:12">
      <c r="G7">
        <v>5</v>
      </c>
      <c r="H7" s="1" t="s">
        <v>53</v>
      </c>
      <c r="I7" s="7"/>
    </row>
    <row r="8" spans="1:12">
      <c r="G8">
        <v>6</v>
      </c>
      <c r="H8" s="1" t="s">
        <v>54</v>
      </c>
      <c r="I8" s="7"/>
    </row>
    <row r="9" spans="1:12">
      <c r="G9">
        <v>7</v>
      </c>
      <c r="H9" s="1" t="s">
        <v>54</v>
      </c>
      <c r="I9" s="7"/>
    </row>
    <row r="10" spans="1:12">
      <c r="G10">
        <v>8</v>
      </c>
      <c r="H10" s="1" t="s">
        <v>57</v>
      </c>
      <c r="I10" s="7"/>
    </row>
    <row r="11" spans="1:12">
      <c r="G11">
        <v>9</v>
      </c>
      <c r="H11" s="1" t="s">
        <v>57</v>
      </c>
      <c r="I11" s="7"/>
    </row>
    <row r="12" spans="1:12">
      <c r="A12" s="1"/>
      <c r="B12" s="1"/>
      <c r="G12">
        <v>10</v>
      </c>
      <c r="H12" s="1" t="s">
        <v>56</v>
      </c>
      <c r="I12" s="7"/>
    </row>
    <row r="13" spans="1:12">
      <c r="G13">
        <v>11</v>
      </c>
      <c r="H13" s="1" t="s">
        <v>56</v>
      </c>
      <c r="I13" s="7"/>
    </row>
    <row r="14" spans="1:12">
      <c r="G14">
        <v>12</v>
      </c>
      <c r="H14" s="1" t="s">
        <v>55</v>
      </c>
      <c r="I14" s="7"/>
    </row>
    <row r="15" spans="1:12">
      <c r="G15">
        <v>13</v>
      </c>
      <c r="H15" s="1" t="s">
        <v>55</v>
      </c>
      <c r="I15" s="7"/>
    </row>
    <row r="16" spans="1:12" ht="16">
      <c r="G16" s="6">
        <v>14</v>
      </c>
      <c r="H16" s="10" t="s">
        <v>23</v>
      </c>
      <c r="I16" s="7"/>
    </row>
    <row r="17" spans="7:9" ht="16">
      <c r="G17" s="6">
        <v>15</v>
      </c>
      <c r="H17" s="10" t="s">
        <v>24</v>
      </c>
      <c r="I17" s="7"/>
    </row>
    <row r="18" spans="7:9" ht="16">
      <c r="G18" s="6">
        <v>16</v>
      </c>
      <c r="H18" s="10" t="s">
        <v>25</v>
      </c>
      <c r="I18" s="7"/>
    </row>
    <row r="19" spans="7:9" ht="16">
      <c r="G19" s="6">
        <v>17</v>
      </c>
      <c r="H19" s="10" t="s">
        <v>26</v>
      </c>
      <c r="I19" s="7"/>
    </row>
    <row r="20" spans="7:9" ht="16">
      <c r="G20" s="6">
        <v>18</v>
      </c>
      <c r="H20" s="10" t="s">
        <v>27</v>
      </c>
      <c r="I20" s="7"/>
    </row>
    <row r="21" spans="7:9" ht="16">
      <c r="G21" s="6">
        <v>19</v>
      </c>
      <c r="H21" s="10" t="s">
        <v>28</v>
      </c>
      <c r="I21" s="7"/>
    </row>
    <row r="22" spans="7:9" ht="16">
      <c r="G22" s="6">
        <v>20</v>
      </c>
      <c r="H22" s="10" t="s">
        <v>29</v>
      </c>
      <c r="I22" s="7"/>
    </row>
    <row r="23" spans="7:9" ht="16">
      <c r="G23" s="6">
        <v>21</v>
      </c>
      <c r="H23" s="10" t="s">
        <v>30</v>
      </c>
      <c r="I23" s="7"/>
    </row>
    <row r="24" spans="7:9" ht="16">
      <c r="G24" s="6">
        <v>22</v>
      </c>
      <c r="H24" s="10" t="s">
        <v>31</v>
      </c>
      <c r="I24" s="7"/>
    </row>
    <row r="25" spans="7:9" ht="16">
      <c r="G25" s="6">
        <v>23</v>
      </c>
      <c r="H25" s="10" t="s">
        <v>32</v>
      </c>
      <c r="I25" s="7"/>
    </row>
    <row r="26" spans="7:9" ht="16">
      <c r="G26" s="6">
        <v>24</v>
      </c>
      <c r="H26" s="10" t="s">
        <v>33</v>
      </c>
      <c r="I26" s="7"/>
    </row>
    <row r="27" spans="7:9" ht="16">
      <c r="G27" s="6">
        <v>25</v>
      </c>
      <c r="H27" s="10" t="s">
        <v>34</v>
      </c>
      <c r="I27" s="7"/>
    </row>
    <row r="28" spans="7:9" ht="16">
      <c r="G28" s="6">
        <v>26</v>
      </c>
      <c r="H28" s="10" t="s">
        <v>35</v>
      </c>
      <c r="I28" s="7"/>
    </row>
    <row r="29" spans="7:9" ht="16">
      <c r="G29" s="6">
        <v>27</v>
      </c>
      <c r="H29" s="10" t="s">
        <v>36</v>
      </c>
    </row>
    <row r="30" spans="7:9" ht="16">
      <c r="G30" s="6">
        <v>28</v>
      </c>
      <c r="H30" s="10" t="s">
        <v>37</v>
      </c>
    </row>
    <row r="31" spans="7:9" ht="16">
      <c r="G31" s="6">
        <v>29</v>
      </c>
      <c r="H31" s="10" t="s">
        <v>38</v>
      </c>
    </row>
    <row r="32" spans="7:9" ht="16">
      <c r="G32" s="6">
        <v>30</v>
      </c>
      <c r="H32" s="10" t="s">
        <v>39</v>
      </c>
    </row>
    <row r="33" spans="7:8" ht="16">
      <c r="G33" s="6">
        <v>31</v>
      </c>
      <c r="H33" s="10" t="s">
        <v>40</v>
      </c>
    </row>
    <row r="34" spans="7:8" ht="16">
      <c r="G34" s="6">
        <v>32</v>
      </c>
      <c r="H34" s="10" t="s">
        <v>41</v>
      </c>
    </row>
    <row r="35" spans="7:8" ht="16">
      <c r="G35" s="6">
        <v>33</v>
      </c>
      <c r="H35" s="10" t="s">
        <v>42</v>
      </c>
    </row>
    <row r="36" spans="7:8" ht="16">
      <c r="G36" s="6">
        <v>34</v>
      </c>
      <c r="H36" s="10" t="s">
        <v>43</v>
      </c>
    </row>
    <row r="37" spans="7:8" ht="16">
      <c r="G37" s="6">
        <v>35</v>
      </c>
      <c r="H37" s="10" t="s">
        <v>44</v>
      </c>
    </row>
    <row r="38" spans="7:8" ht="16">
      <c r="G38" s="6">
        <v>36</v>
      </c>
      <c r="H38" s="10" t="s">
        <v>45</v>
      </c>
    </row>
    <row r="39" spans="7:8" ht="16">
      <c r="G39" s="6">
        <v>37</v>
      </c>
      <c r="H39" s="10" t="s">
        <v>46</v>
      </c>
    </row>
    <row r="40" spans="7:8" ht="16">
      <c r="G40" s="6">
        <v>38</v>
      </c>
      <c r="H40" s="10" t="s">
        <v>47</v>
      </c>
    </row>
    <row r="41" spans="7:8" ht="16">
      <c r="G41" s="6">
        <v>39</v>
      </c>
      <c r="H41" s="10" t="s">
        <v>48</v>
      </c>
    </row>
    <row r="42" spans="7:8" ht="16">
      <c r="G42" s="6">
        <v>40</v>
      </c>
      <c r="H42" s="10" t="s">
        <v>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596900</xdr:colOff>
                    <xdr:row>1</xdr:row>
                    <xdr:rowOff>12700</xdr:rowOff>
                  </from>
                  <to>
                    <xdr:col>14</xdr:col>
                    <xdr:colOff>596900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DFDBB-F164-4978-A044-D2210AE0D1AC}">
  <sheetPr codeName="Sheet7"/>
  <dimension ref="A1:AS43"/>
  <sheetViews>
    <sheetView tabSelected="1" topLeftCell="A55" workbookViewId="0">
      <selection activeCell="A59" sqref="A59"/>
    </sheetView>
  </sheetViews>
  <sheetFormatPr baseColWidth="10" defaultColWidth="8.83203125" defaultRowHeight="15"/>
  <cols>
    <col min="1" max="1" width="18.5" customWidth="1"/>
    <col min="2" max="2" width="22.6640625" customWidth="1"/>
    <col min="3" max="3" width="17" customWidth="1"/>
    <col min="4" max="4" width="16" customWidth="1"/>
    <col min="5" max="5" width="12.6640625" customWidth="1"/>
    <col min="6" max="6" width="12.5" customWidth="1"/>
  </cols>
  <sheetData>
    <row r="1" spans="1:45" ht="16.75" customHeight="1">
      <c r="A1" t="s">
        <v>10</v>
      </c>
      <c r="B1" t="s">
        <v>59</v>
      </c>
      <c r="C1" t="s">
        <v>60</v>
      </c>
      <c r="D1" t="s">
        <v>61</v>
      </c>
      <c r="F1" t="s">
        <v>10</v>
      </c>
      <c r="G1" t="s">
        <v>62</v>
      </c>
      <c r="H1" t="s">
        <v>63</v>
      </c>
      <c r="J1" t="s">
        <v>10</v>
      </c>
      <c r="K1" t="s">
        <v>0</v>
      </c>
      <c r="L1" t="s">
        <v>64</v>
      </c>
      <c r="N1" t="s">
        <v>10</v>
      </c>
      <c r="O1" t="s">
        <v>65</v>
      </c>
      <c r="P1" t="s">
        <v>66</v>
      </c>
      <c r="Q1" t="s">
        <v>67</v>
      </c>
      <c r="S1" t="s">
        <v>10</v>
      </c>
      <c r="T1" t="s">
        <v>68</v>
      </c>
      <c r="U1" t="s">
        <v>69</v>
      </c>
      <c r="V1" t="s">
        <v>70</v>
      </c>
      <c r="X1" t="s">
        <v>10</v>
      </c>
      <c r="Y1" t="s">
        <v>71</v>
      </c>
      <c r="AA1" t="s">
        <v>10</v>
      </c>
      <c r="AB1" t="s">
        <v>72</v>
      </c>
      <c r="AC1" t="s">
        <v>73</v>
      </c>
      <c r="AD1" t="s">
        <v>74</v>
      </c>
      <c r="AF1" t="s">
        <v>75</v>
      </c>
      <c r="AG1" t="s">
        <v>59</v>
      </c>
      <c r="AH1" t="s">
        <v>60</v>
      </c>
      <c r="AI1" t="s">
        <v>61</v>
      </c>
      <c r="AK1" t="s">
        <v>6</v>
      </c>
      <c r="AL1" t="s">
        <v>76</v>
      </c>
      <c r="AN1" t="s">
        <v>77</v>
      </c>
      <c r="AO1" t="s">
        <v>78</v>
      </c>
      <c r="AQ1" t="s">
        <v>10</v>
      </c>
      <c r="AR1" t="s">
        <v>79</v>
      </c>
      <c r="AS1" t="s">
        <v>80</v>
      </c>
    </row>
    <row r="2" spans="1:45">
      <c r="A2">
        <v>1</v>
      </c>
      <c r="B2">
        <v>38</v>
      </c>
      <c r="C2">
        <v>0</v>
      </c>
      <c r="D2">
        <v>0</v>
      </c>
      <c r="F2">
        <v>1</v>
      </c>
      <c r="G2">
        <v>16</v>
      </c>
      <c r="H2">
        <v>22</v>
      </c>
      <c r="J2">
        <v>1</v>
      </c>
      <c r="K2">
        <v>2</v>
      </c>
      <c r="L2">
        <v>19998</v>
      </c>
      <c r="N2">
        <v>1</v>
      </c>
      <c r="O2">
        <v>400</v>
      </c>
      <c r="P2">
        <v>0</v>
      </c>
      <c r="Q2">
        <v>0</v>
      </c>
      <c r="S2">
        <v>1</v>
      </c>
      <c r="T2">
        <v>38</v>
      </c>
      <c r="U2">
        <v>0</v>
      </c>
      <c r="V2">
        <v>0</v>
      </c>
      <c r="X2">
        <v>1</v>
      </c>
      <c r="Y2">
        <v>53.214285714285708</v>
      </c>
      <c r="AA2">
        <v>1</v>
      </c>
      <c r="AB2">
        <v>362</v>
      </c>
      <c r="AC2">
        <v>0</v>
      </c>
      <c r="AD2">
        <v>0</v>
      </c>
      <c r="AI2" t="e">
        <v>#N/A</v>
      </c>
      <c r="AK2" t="s">
        <v>12</v>
      </c>
      <c r="AL2">
        <v>18.761904761904763</v>
      </c>
      <c r="AN2">
        <v>1</v>
      </c>
      <c r="AO2">
        <v>0</v>
      </c>
      <c r="AQ2">
        <v>1</v>
      </c>
      <c r="AR2">
        <v>400</v>
      </c>
      <c r="AS2">
        <v>38</v>
      </c>
    </row>
    <row r="3" spans="1:45">
      <c r="A3">
        <v>2</v>
      </c>
      <c r="B3">
        <v>35</v>
      </c>
      <c r="C3">
        <v>0</v>
      </c>
      <c r="D3">
        <v>0</v>
      </c>
      <c r="F3">
        <v>2</v>
      </c>
      <c r="G3">
        <v>15</v>
      </c>
      <c r="H3">
        <v>20</v>
      </c>
      <c r="J3">
        <v>2</v>
      </c>
      <c r="K3">
        <v>6</v>
      </c>
      <c r="L3">
        <v>19992</v>
      </c>
      <c r="N3">
        <v>2</v>
      </c>
      <c r="O3">
        <v>0</v>
      </c>
      <c r="P3">
        <v>0</v>
      </c>
      <c r="Q3">
        <v>0</v>
      </c>
      <c r="S3">
        <v>2</v>
      </c>
      <c r="T3">
        <v>73</v>
      </c>
      <c r="U3">
        <v>0</v>
      </c>
      <c r="V3">
        <v>0</v>
      </c>
      <c r="X3">
        <v>2</v>
      </c>
      <c r="Y3">
        <v>53.560975609756099</v>
      </c>
      <c r="AA3">
        <v>2</v>
      </c>
      <c r="AB3">
        <v>327</v>
      </c>
      <c r="AC3">
        <v>0</v>
      </c>
      <c r="AD3">
        <v>0</v>
      </c>
      <c r="AI3" t="e">
        <v>#N/A</v>
      </c>
      <c r="AK3" t="s">
        <v>17</v>
      </c>
      <c r="AL3">
        <v>17.928571428571427</v>
      </c>
      <c r="AN3">
        <v>8</v>
      </c>
      <c r="AO3">
        <v>7</v>
      </c>
      <c r="AQ3">
        <v>2</v>
      </c>
      <c r="AR3">
        <v>0</v>
      </c>
      <c r="AS3">
        <v>35</v>
      </c>
    </row>
    <row r="4" spans="1:45">
      <c r="A4">
        <v>3</v>
      </c>
      <c r="B4">
        <v>37</v>
      </c>
      <c r="C4">
        <v>0</v>
      </c>
      <c r="D4">
        <v>0</v>
      </c>
      <c r="F4">
        <v>3</v>
      </c>
      <c r="G4">
        <v>20</v>
      </c>
      <c r="H4">
        <v>17</v>
      </c>
      <c r="J4">
        <v>3</v>
      </c>
      <c r="K4">
        <v>3</v>
      </c>
      <c r="L4">
        <v>19989</v>
      </c>
      <c r="N4">
        <v>3</v>
      </c>
      <c r="O4">
        <v>0</v>
      </c>
      <c r="P4">
        <v>0</v>
      </c>
      <c r="Q4">
        <v>0</v>
      </c>
      <c r="S4">
        <v>3</v>
      </c>
      <c r="T4">
        <v>110</v>
      </c>
      <c r="U4">
        <v>0</v>
      </c>
      <c r="V4">
        <v>0</v>
      </c>
      <c r="X4">
        <v>3</v>
      </c>
      <c r="Y4">
        <v>53.974999999999994</v>
      </c>
      <c r="AA4">
        <v>3</v>
      </c>
      <c r="AB4">
        <v>290</v>
      </c>
      <c r="AC4">
        <v>0</v>
      </c>
      <c r="AD4">
        <v>0</v>
      </c>
      <c r="AI4" t="e">
        <v>#N/A</v>
      </c>
      <c r="AN4">
        <v>16</v>
      </c>
      <c r="AO4">
        <v>8</v>
      </c>
      <c r="AQ4">
        <v>3</v>
      </c>
      <c r="AR4">
        <v>0</v>
      </c>
      <c r="AS4">
        <v>37</v>
      </c>
    </row>
    <row r="5" spans="1:45">
      <c r="A5">
        <v>4</v>
      </c>
      <c r="B5">
        <v>32</v>
      </c>
      <c r="C5">
        <v>0</v>
      </c>
      <c r="D5">
        <v>0</v>
      </c>
      <c r="F5">
        <v>4</v>
      </c>
      <c r="G5">
        <v>13</v>
      </c>
      <c r="H5">
        <v>19</v>
      </c>
      <c r="J5">
        <v>4</v>
      </c>
      <c r="K5">
        <v>2</v>
      </c>
      <c r="L5">
        <v>19987</v>
      </c>
      <c r="N5">
        <v>4</v>
      </c>
      <c r="O5">
        <v>0</v>
      </c>
      <c r="P5">
        <v>0</v>
      </c>
      <c r="Q5">
        <v>0</v>
      </c>
      <c r="S5">
        <v>4</v>
      </c>
      <c r="T5">
        <v>142</v>
      </c>
      <c r="U5">
        <v>0</v>
      </c>
      <c r="V5">
        <v>0</v>
      </c>
      <c r="X5">
        <v>4</v>
      </c>
      <c r="Y5">
        <v>54.333333333333336</v>
      </c>
      <c r="AA5">
        <v>4</v>
      </c>
      <c r="AB5">
        <v>258</v>
      </c>
      <c r="AC5">
        <v>0</v>
      </c>
      <c r="AD5">
        <v>0</v>
      </c>
      <c r="AN5">
        <v>24</v>
      </c>
      <c r="AO5">
        <v>8</v>
      </c>
      <c r="AQ5">
        <v>4</v>
      </c>
      <c r="AR5">
        <v>0</v>
      </c>
      <c r="AS5">
        <v>32</v>
      </c>
    </row>
    <row r="6" spans="1:45">
      <c r="A6">
        <v>5</v>
      </c>
      <c r="B6">
        <v>31</v>
      </c>
      <c r="C6">
        <v>0</v>
      </c>
      <c r="D6">
        <v>0</v>
      </c>
      <c r="F6">
        <v>5</v>
      </c>
      <c r="G6">
        <v>13</v>
      </c>
      <c r="H6">
        <v>18</v>
      </c>
      <c r="J6">
        <v>5</v>
      </c>
      <c r="K6">
        <v>5</v>
      </c>
      <c r="L6">
        <v>19982</v>
      </c>
      <c r="N6">
        <v>5</v>
      </c>
      <c r="O6">
        <v>0</v>
      </c>
      <c r="P6">
        <v>0</v>
      </c>
      <c r="Q6">
        <v>0</v>
      </c>
      <c r="S6">
        <v>5</v>
      </c>
      <c r="T6">
        <v>173</v>
      </c>
      <c r="U6">
        <v>0</v>
      </c>
      <c r="V6">
        <v>0</v>
      </c>
      <c r="X6">
        <v>5</v>
      </c>
      <c r="Y6">
        <v>54.815789473684212</v>
      </c>
      <c r="AA6">
        <v>5</v>
      </c>
      <c r="AB6">
        <v>227</v>
      </c>
      <c r="AC6">
        <v>0</v>
      </c>
      <c r="AD6">
        <v>0</v>
      </c>
      <c r="AN6">
        <v>30</v>
      </c>
      <c r="AO6">
        <v>6</v>
      </c>
      <c r="AQ6">
        <v>5</v>
      </c>
      <c r="AR6">
        <v>0</v>
      </c>
      <c r="AS6">
        <v>31</v>
      </c>
    </row>
    <row r="7" spans="1:45">
      <c r="A7">
        <v>6</v>
      </c>
      <c r="B7">
        <v>36</v>
      </c>
      <c r="C7">
        <v>0</v>
      </c>
      <c r="D7">
        <v>0</v>
      </c>
      <c r="F7">
        <v>6</v>
      </c>
      <c r="G7">
        <v>15</v>
      </c>
      <c r="H7">
        <v>21</v>
      </c>
      <c r="J7">
        <v>6</v>
      </c>
      <c r="K7">
        <v>1</v>
      </c>
      <c r="L7">
        <v>19981</v>
      </c>
      <c r="N7">
        <v>6</v>
      </c>
      <c r="O7">
        <v>0</v>
      </c>
      <c r="P7">
        <v>0</v>
      </c>
      <c r="Q7">
        <v>0</v>
      </c>
      <c r="S7">
        <v>6</v>
      </c>
      <c r="T7">
        <v>209</v>
      </c>
      <c r="U7">
        <v>0</v>
      </c>
      <c r="V7">
        <v>0</v>
      </c>
      <c r="X7">
        <v>6</v>
      </c>
      <c r="Y7">
        <v>38.333333333333336</v>
      </c>
      <c r="AA7">
        <v>6</v>
      </c>
      <c r="AB7">
        <v>191</v>
      </c>
      <c r="AC7">
        <v>0</v>
      </c>
      <c r="AD7">
        <v>0</v>
      </c>
      <c r="AN7">
        <v>36</v>
      </c>
      <c r="AO7">
        <v>6</v>
      </c>
      <c r="AQ7">
        <v>6</v>
      </c>
      <c r="AR7">
        <v>0</v>
      </c>
      <c r="AS7">
        <v>36</v>
      </c>
    </row>
    <row r="8" spans="1:45">
      <c r="A8">
        <v>7</v>
      </c>
      <c r="B8">
        <v>34</v>
      </c>
      <c r="C8">
        <v>0</v>
      </c>
      <c r="D8">
        <v>0</v>
      </c>
      <c r="F8">
        <v>7</v>
      </c>
      <c r="G8">
        <v>19</v>
      </c>
      <c r="H8">
        <v>15</v>
      </c>
      <c r="J8">
        <v>7</v>
      </c>
      <c r="K8">
        <v>5</v>
      </c>
      <c r="L8">
        <v>19976</v>
      </c>
      <c r="N8">
        <v>7</v>
      </c>
      <c r="O8">
        <v>0</v>
      </c>
      <c r="P8">
        <v>0</v>
      </c>
      <c r="Q8">
        <v>0</v>
      </c>
      <c r="S8">
        <v>7</v>
      </c>
      <c r="T8">
        <v>243</v>
      </c>
      <c r="U8">
        <v>0</v>
      </c>
      <c r="V8">
        <v>0</v>
      </c>
      <c r="X8">
        <v>7</v>
      </c>
      <c r="Y8">
        <v>38.714285714285715</v>
      </c>
      <c r="AA8">
        <v>7</v>
      </c>
      <c r="AB8">
        <v>157</v>
      </c>
      <c r="AC8">
        <v>0</v>
      </c>
      <c r="AD8">
        <v>0</v>
      </c>
      <c r="AQ8">
        <v>7</v>
      </c>
      <c r="AR8">
        <v>0</v>
      </c>
      <c r="AS8">
        <v>34</v>
      </c>
    </row>
    <row r="9" spans="1:45">
      <c r="A9">
        <v>8</v>
      </c>
      <c r="B9">
        <v>36</v>
      </c>
      <c r="C9">
        <v>0</v>
      </c>
      <c r="D9">
        <v>0</v>
      </c>
      <c r="F9">
        <v>8</v>
      </c>
      <c r="G9">
        <v>23</v>
      </c>
      <c r="H9">
        <v>13</v>
      </c>
      <c r="J9">
        <v>8</v>
      </c>
      <c r="K9">
        <v>2</v>
      </c>
      <c r="L9">
        <v>19974</v>
      </c>
      <c r="N9">
        <v>8</v>
      </c>
      <c r="O9">
        <v>400</v>
      </c>
      <c r="P9">
        <v>0</v>
      </c>
      <c r="Q9">
        <v>0</v>
      </c>
      <c r="S9">
        <v>8</v>
      </c>
      <c r="T9">
        <v>279</v>
      </c>
      <c r="U9">
        <v>0</v>
      </c>
      <c r="V9">
        <v>0</v>
      </c>
      <c r="X9">
        <v>8</v>
      </c>
      <c r="Y9">
        <v>39.428571428571431</v>
      </c>
      <c r="AA9">
        <v>8</v>
      </c>
      <c r="AB9">
        <v>521</v>
      </c>
      <c r="AC9">
        <v>0</v>
      </c>
      <c r="AD9">
        <v>0</v>
      </c>
      <c r="AQ9">
        <v>8</v>
      </c>
      <c r="AR9">
        <v>400</v>
      </c>
      <c r="AS9">
        <v>36</v>
      </c>
    </row>
    <row r="10" spans="1:45">
      <c r="A10">
        <v>9</v>
      </c>
      <c r="B10">
        <v>35</v>
      </c>
      <c r="C10">
        <v>0</v>
      </c>
      <c r="D10">
        <v>0</v>
      </c>
      <c r="F10">
        <v>9</v>
      </c>
      <c r="G10">
        <v>17</v>
      </c>
      <c r="H10">
        <v>18</v>
      </c>
      <c r="J10">
        <v>9</v>
      </c>
      <c r="K10">
        <v>2</v>
      </c>
      <c r="L10">
        <v>19972</v>
      </c>
      <c r="N10">
        <v>9</v>
      </c>
      <c r="O10">
        <v>0</v>
      </c>
      <c r="P10">
        <v>0</v>
      </c>
      <c r="Q10">
        <v>0</v>
      </c>
      <c r="S10">
        <v>9</v>
      </c>
      <c r="T10">
        <v>314</v>
      </c>
      <c r="U10">
        <v>0</v>
      </c>
      <c r="V10">
        <v>0</v>
      </c>
      <c r="X10">
        <v>9</v>
      </c>
      <c r="Y10">
        <v>40.428571428571431</v>
      </c>
      <c r="AA10">
        <v>9</v>
      </c>
      <c r="AB10">
        <v>486</v>
      </c>
      <c r="AC10">
        <v>0</v>
      </c>
      <c r="AD10">
        <v>0</v>
      </c>
      <c r="AQ10">
        <v>9</v>
      </c>
      <c r="AR10">
        <v>0</v>
      </c>
      <c r="AS10">
        <v>35</v>
      </c>
    </row>
    <row r="11" spans="1:45">
      <c r="A11">
        <v>10</v>
      </c>
      <c r="B11">
        <v>34</v>
      </c>
      <c r="C11">
        <v>0</v>
      </c>
      <c r="D11">
        <v>0</v>
      </c>
      <c r="F11">
        <v>10</v>
      </c>
      <c r="G11">
        <v>16</v>
      </c>
      <c r="H11">
        <v>18</v>
      </c>
      <c r="J11">
        <v>10</v>
      </c>
      <c r="K11">
        <v>4</v>
      </c>
      <c r="L11">
        <v>19968</v>
      </c>
      <c r="N11">
        <v>10</v>
      </c>
      <c r="O11">
        <v>0</v>
      </c>
      <c r="P11">
        <v>0</v>
      </c>
      <c r="Q11">
        <v>0</v>
      </c>
      <c r="S11">
        <v>10</v>
      </c>
      <c r="T11">
        <v>348</v>
      </c>
      <c r="U11">
        <v>0</v>
      </c>
      <c r="V11">
        <v>0</v>
      </c>
      <c r="X11">
        <v>10</v>
      </c>
      <c r="Y11">
        <v>41</v>
      </c>
      <c r="AA11">
        <v>10</v>
      </c>
      <c r="AB11">
        <v>452</v>
      </c>
      <c r="AC11">
        <v>0</v>
      </c>
      <c r="AD11">
        <v>0</v>
      </c>
      <c r="AQ11">
        <v>10</v>
      </c>
      <c r="AR11">
        <v>0</v>
      </c>
      <c r="AS11">
        <v>34</v>
      </c>
    </row>
    <row r="12" spans="1:45">
      <c r="A12">
        <v>11</v>
      </c>
      <c r="B12">
        <v>40</v>
      </c>
      <c r="C12">
        <v>0</v>
      </c>
      <c r="D12">
        <v>0</v>
      </c>
      <c r="F12">
        <v>11</v>
      </c>
      <c r="G12">
        <v>18</v>
      </c>
      <c r="H12">
        <v>22</v>
      </c>
      <c r="J12">
        <v>11</v>
      </c>
      <c r="K12">
        <v>4</v>
      </c>
      <c r="L12">
        <v>19964</v>
      </c>
      <c r="N12">
        <v>11</v>
      </c>
      <c r="O12">
        <v>0</v>
      </c>
      <c r="P12">
        <v>0</v>
      </c>
      <c r="Q12">
        <v>0</v>
      </c>
      <c r="S12">
        <v>11</v>
      </c>
      <c r="T12">
        <v>388</v>
      </c>
      <c r="U12">
        <v>0</v>
      </c>
      <c r="V12">
        <v>0</v>
      </c>
      <c r="X12">
        <v>11</v>
      </c>
      <c r="Y12">
        <v>43.142857142857146</v>
      </c>
      <c r="AA12">
        <v>11</v>
      </c>
      <c r="AB12">
        <v>412</v>
      </c>
      <c r="AC12">
        <v>0</v>
      </c>
      <c r="AD12">
        <v>0</v>
      </c>
      <c r="AQ12">
        <v>11</v>
      </c>
      <c r="AR12">
        <v>0</v>
      </c>
      <c r="AS12">
        <v>40</v>
      </c>
    </row>
    <row r="13" spans="1:45">
      <c r="A13">
        <v>12</v>
      </c>
      <c r="B13">
        <v>34</v>
      </c>
      <c r="C13">
        <v>0</v>
      </c>
      <c r="D13">
        <v>0</v>
      </c>
      <c r="F13">
        <v>12</v>
      </c>
      <c r="G13">
        <v>16</v>
      </c>
      <c r="H13">
        <v>18</v>
      </c>
      <c r="J13">
        <v>12</v>
      </c>
      <c r="K13">
        <v>7</v>
      </c>
      <c r="L13">
        <v>19957</v>
      </c>
      <c r="N13">
        <v>12</v>
      </c>
      <c r="O13">
        <v>0</v>
      </c>
      <c r="P13">
        <v>0</v>
      </c>
      <c r="Q13">
        <v>0</v>
      </c>
      <c r="S13">
        <v>12</v>
      </c>
      <c r="T13">
        <v>422</v>
      </c>
      <c r="U13">
        <v>0</v>
      </c>
      <c r="V13">
        <v>0</v>
      </c>
      <c r="X13">
        <v>12</v>
      </c>
      <c r="Y13">
        <v>44.571428571428569</v>
      </c>
      <c r="AA13">
        <v>12</v>
      </c>
      <c r="AB13">
        <v>378</v>
      </c>
      <c r="AC13">
        <v>0</v>
      </c>
      <c r="AD13">
        <v>0</v>
      </c>
      <c r="AQ13">
        <v>12</v>
      </c>
      <c r="AR13">
        <v>0</v>
      </c>
      <c r="AS13">
        <v>34</v>
      </c>
    </row>
    <row r="14" spans="1:45">
      <c r="A14">
        <v>13</v>
      </c>
      <c r="B14">
        <v>42</v>
      </c>
      <c r="C14">
        <v>0</v>
      </c>
      <c r="D14">
        <v>0</v>
      </c>
      <c r="F14">
        <v>13</v>
      </c>
      <c r="G14">
        <v>25</v>
      </c>
      <c r="H14">
        <v>17</v>
      </c>
      <c r="J14">
        <v>13</v>
      </c>
      <c r="K14">
        <v>7</v>
      </c>
      <c r="L14">
        <v>19950</v>
      </c>
      <c r="N14">
        <v>13</v>
      </c>
      <c r="O14">
        <v>0</v>
      </c>
      <c r="P14">
        <v>0</v>
      </c>
      <c r="Q14">
        <v>0</v>
      </c>
      <c r="S14">
        <v>13</v>
      </c>
      <c r="T14">
        <v>464</v>
      </c>
      <c r="U14">
        <v>0</v>
      </c>
      <c r="V14">
        <v>0</v>
      </c>
      <c r="X14">
        <v>13</v>
      </c>
      <c r="Y14">
        <v>46.428571428571431</v>
      </c>
      <c r="AA14">
        <v>13</v>
      </c>
      <c r="AB14">
        <v>336</v>
      </c>
      <c r="AC14">
        <v>0</v>
      </c>
      <c r="AD14">
        <v>0</v>
      </c>
      <c r="AQ14">
        <v>13</v>
      </c>
      <c r="AR14">
        <v>0</v>
      </c>
      <c r="AS14">
        <v>42</v>
      </c>
    </row>
    <row r="15" spans="1:45">
      <c r="A15">
        <v>14</v>
      </c>
      <c r="B15">
        <v>49</v>
      </c>
      <c r="C15">
        <v>0</v>
      </c>
      <c r="D15">
        <v>0</v>
      </c>
      <c r="F15">
        <v>14</v>
      </c>
      <c r="G15">
        <v>29</v>
      </c>
      <c r="H15">
        <v>20</v>
      </c>
      <c r="J15">
        <v>14</v>
      </c>
      <c r="K15">
        <v>4</v>
      </c>
      <c r="L15">
        <v>19946</v>
      </c>
      <c r="N15">
        <v>14</v>
      </c>
      <c r="O15">
        <v>0</v>
      </c>
      <c r="P15">
        <v>0</v>
      </c>
      <c r="Q15">
        <v>0</v>
      </c>
      <c r="S15">
        <v>14</v>
      </c>
      <c r="T15">
        <v>513</v>
      </c>
      <c r="U15">
        <v>0</v>
      </c>
      <c r="V15">
        <v>0</v>
      </c>
      <c r="X15">
        <v>14</v>
      </c>
      <c r="Y15">
        <v>49.571428571428569</v>
      </c>
      <c r="AA15">
        <v>14</v>
      </c>
      <c r="AB15">
        <v>287</v>
      </c>
      <c r="AC15">
        <v>0</v>
      </c>
      <c r="AD15">
        <v>0</v>
      </c>
      <c r="AQ15">
        <v>14</v>
      </c>
      <c r="AR15">
        <v>0</v>
      </c>
      <c r="AS15">
        <v>49</v>
      </c>
    </row>
    <row r="16" spans="1:45">
      <c r="A16">
        <v>15</v>
      </c>
      <c r="B16">
        <v>42</v>
      </c>
      <c r="C16">
        <v>0</v>
      </c>
      <c r="D16">
        <v>0</v>
      </c>
      <c r="F16">
        <v>15</v>
      </c>
      <c r="G16">
        <v>18</v>
      </c>
      <c r="H16">
        <v>24</v>
      </c>
      <c r="J16">
        <v>15</v>
      </c>
      <c r="K16">
        <v>9</v>
      </c>
      <c r="L16">
        <v>19937</v>
      </c>
      <c r="N16">
        <v>15</v>
      </c>
      <c r="O16">
        <v>0</v>
      </c>
      <c r="P16">
        <v>0</v>
      </c>
      <c r="Q16">
        <v>0</v>
      </c>
      <c r="S16">
        <v>15</v>
      </c>
      <c r="T16">
        <v>555</v>
      </c>
      <c r="U16">
        <v>0</v>
      </c>
      <c r="V16">
        <v>0</v>
      </c>
      <c r="X16">
        <v>15</v>
      </c>
      <c r="Y16">
        <v>51.428571428571431</v>
      </c>
      <c r="AA16">
        <v>15</v>
      </c>
      <c r="AB16">
        <v>245</v>
      </c>
      <c r="AC16">
        <v>0</v>
      </c>
      <c r="AD16">
        <v>0</v>
      </c>
      <c r="AQ16">
        <v>15</v>
      </c>
      <c r="AR16">
        <v>0</v>
      </c>
      <c r="AS16">
        <v>42</v>
      </c>
    </row>
    <row r="17" spans="1:45">
      <c r="A17">
        <v>16</v>
      </c>
      <c r="B17">
        <v>58</v>
      </c>
      <c r="C17">
        <v>0</v>
      </c>
      <c r="D17">
        <v>0</v>
      </c>
      <c r="F17">
        <v>16</v>
      </c>
      <c r="G17">
        <v>34</v>
      </c>
      <c r="H17">
        <v>24</v>
      </c>
      <c r="J17">
        <v>16</v>
      </c>
      <c r="K17">
        <v>4</v>
      </c>
      <c r="L17">
        <v>19933</v>
      </c>
      <c r="N17">
        <v>16</v>
      </c>
      <c r="O17">
        <v>200</v>
      </c>
      <c r="P17">
        <v>200</v>
      </c>
      <c r="Q17">
        <v>0</v>
      </c>
      <c r="S17">
        <v>16</v>
      </c>
      <c r="T17">
        <v>613</v>
      </c>
      <c r="U17">
        <v>0</v>
      </c>
      <c r="V17">
        <v>0</v>
      </c>
      <c r="X17">
        <v>16</v>
      </c>
      <c r="Y17">
        <v>55.714285714285715</v>
      </c>
      <c r="AA17">
        <v>16</v>
      </c>
      <c r="AB17">
        <v>387</v>
      </c>
      <c r="AC17">
        <v>200</v>
      </c>
      <c r="AD17">
        <v>0</v>
      </c>
      <c r="AQ17">
        <v>16</v>
      </c>
      <c r="AR17">
        <v>400</v>
      </c>
      <c r="AS17">
        <v>58</v>
      </c>
    </row>
    <row r="18" spans="1:45">
      <c r="A18">
        <v>17</v>
      </c>
      <c r="B18">
        <v>43</v>
      </c>
      <c r="C18">
        <v>0</v>
      </c>
      <c r="D18">
        <v>0</v>
      </c>
      <c r="F18">
        <v>17</v>
      </c>
      <c r="G18">
        <v>21</v>
      </c>
      <c r="H18">
        <v>22</v>
      </c>
      <c r="J18">
        <v>17</v>
      </c>
      <c r="K18">
        <v>5</v>
      </c>
      <c r="L18">
        <v>19928</v>
      </c>
      <c r="N18">
        <v>17</v>
      </c>
      <c r="O18">
        <v>0</v>
      </c>
      <c r="P18">
        <v>0</v>
      </c>
      <c r="Q18">
        <v>0</v>
      </c>
      <c r="S18">
        <v>17</v>
      </c>
      <c r="T18">
        <v>656</v>
      </c>
      <c r="U18">
        <v>0</v>
      </c>
      <c r="V18">
        <v>0</v>
      </c>
      <c r="X18">
        <v>17</v>
      </c>
      <c r="Y18">
        <v>58</v>
      </c>
      <c r="AA18">
        <v>17</v>
      </c>
      <c r="AB18">
        <v>344</v>
      </c>
      <c r="AC18">
        <v>200</v>
      </c>
      <c r="AD18">
        <v>0</v>
      </c>
      <c r="AQ18">
        <v>17</v>
      </c>
      <c r="AR18">
        <v>0</v>
      </c>
      <c r="AS18">
        <v>43</v>
      </c>
    </row>
    <row r="19" spans="1:45">
      <c r="A19">
        <v>18</v>
      </c>
      <c r="B19">
        <v>38</v>
      </c>
      <c r="C19">
        <v>0</v>
      </c>
      <c r="D19">
        <v>0</v>
      </c>
      <c r="F19">
        <v>18</v>
      </c>
      <c r="G19">
        <v>19</v>
      </c>
      <c r="H19">
        <v>19</v>
      </c>
      <c r="J19">
        <v>18</v>
      </c>
      <c r="K19">
        <v>7</v>
      </c>
      <c r="L19">
        <v>19921</v>
      </c>
      <c r="N19">
        <v>18</v>
      </c>
      <c r="O19">
        <v>0</v>
      </c>
      <c r="P19">
        <v>0</v>
      </c>
      <c r="Q19">
        <v>0</v>
      </c>
      <c r="S19">
        <v>18</v>
      </c>
      <c r="T19">
        <v>694</v>
      </c>
      <c r="U19">
        <v>0</v>
      </c>
      <c r="V19">
        <v>0</v>
      </c>
      <c r="X19">
        <v>18</v>
      </c>
      <c r="Y19">
        <v>58.714285714285715</v>
      </c>
      <c r="AA19">
        <v>18</v>
      </c>
      <c r="AB19">
        <v>306</v>
      </c>
      <c r="AC19">
        <v>200</v>
      </c>
      <c r="AD19">
        <v>0</v>
      </c>
      <c r="AQ19">
        <v>18</v>
      </c>
      <c r="AR19">
        <v>0</v>
      </c>
      <c r="AS19">
        <v>38</v>
      </c>
    </row>
    <row r="20" spans="1:45">
      <c r="A20">
        <v>19</v>
      </c>
      <c r="B20">
        <v>29</v>
      </c>
      <c r="C20">
        <v>0</v>
      </c>
      <c r="D20">
        <v>0</v>
      </c>
      <c r="F20">
        <v>19</v>
      </c>
      <c r="G20">
        <v>13</v>
      </c>
      <c r="H20">
        <v>16</v>
      </c>
      <c r="J20">
        <v>19</v>
      </c>
      <c r="K20">
        <v>1</v>
      </c>
      <c r="L20">
        <v>19920</v>
      </c>
      <c r="N20">
        <v>19</v>
      </c>
      <c r="O20">
        <v>0</v>
      </c>
      <c r="P20">
        <v>0</v>
      </c>
      <c r="Q20">
        <v>0</v>
      </c>
      <c r="S20">
        <v>19</v>
      </c>
      <c r="T20">
        <v>723</v>
      </c>
      <c r="U20">
        <v>0</v>
      </c>
      <c r="V20">
        <v>0</v>
      </c>
      <c r="X20">
        <v>19</v>
      </c>
      <c r="Y20">
        <v>59</v>
      </c>
      <c r="AA20">
        <v>19</v>
      </c>
      <c r="AB20">
        <v>277</v>
      </c>
      <c r="AC20">
        <v>200</v>
      </c>
      <c r="AD20">
        <v>0</v>
      </c>
      <c r="AQ20">
        <v>19</v>
      </c>
      <c r="AR20">
        <v>0</v>
      </c>
      <c r="AS20">
        <v>29</v>
      </c>
    </row>
    <row r="21" spans="1:45">
      <c r="A21">
        <v>20</v>
      </c>
      <c r="B21">
        <v>36</v>
      </c>
      <c r="C21">
        <v>0</v>
      </c>
      <c r="D21">
        <v>0</v>
      </c>
      <c r="F21">
        <v>20</v>
      </c>
      <c r="G21">
        <v>25</v>
      </c>
      <c r="H21">
        <v>11</v>
      </c>
      <c r="J21">
        <v>20</v>
      </c>
      <c r="K21">
        <v>3</v>
      </c>
      <c r="L21">
        <v>19917</v>
      </c>
      <c r="N21">
        <v>20</v>
      </c>
      <c r="O21">
        <v>0</v>
      </c>
      <c r="P21">
        <v>0</v>
      </c>
      <c r="Q21">
        <v>0</v>
      </c>
      <c r="S21">
        <v>20</v>
      </c>
      <c r="T21">
        <v>759</v>
      </c>
      <c r="U21">
        <v>0</v>
      </c>
      <c r="V21">
        <v>0</v>
      </c>
      <c r="X21">
        <v>20</v>
      </c>
      <c r="Y21">
        <v>59.142857142857146</v>
      </c>
      <c r="AA21">
        <v>20</v>
      </c>
      <c r="AB21">
        <v>241</v>
      </c>
      <c r="AC21">
        <v>200</v>
      </c>
      <c r="AD21">
        <v>0</v>
      </c>
      <c r="AQ21">
        <v>20</v>
      </c>
      <c r="AR21">
        <v>0</v>
      </c>
      <c r="AS21">
        <v>36</v>
      </c>
    </row>
    <row r="22" spans="1:45">
      <c r="A22">
        <v>21</v>
      </c>
      <c r="B22">
        <v>0</v>
      </c>
      <c r="C22">
        <v>47</v>
      </c>
      <c r="D22">
        <v>0</v>
      </c>
      <c r="F22">
        <v>21</v>
      </c>
      <c r="G22">
        <v>26</v>
      </c>
      <c r="H22">
        <v>21</v>
      </c>
      <c r="J22">
        <v>21</v>
      </c>
      <c r="K22">
        <v>6</v>
      </c>
      <c r="L22">
        <v>19911</v>
      </c>
      <c r="N22">
        <v>21</v>
      </c>
      <c r="O22">
        <v>0</v>
      </c>
      <c r="P22">
        <v>0</v>
      </c>
      <c r="Q22">
        <v>0</v>
      </c>
      <c r="S22">
        <v>21</v>
      </c>
      <c r="T22">
        <v>759</v>
      </c>
      <c r="U22">
        <v>47</v>
      </c>
      <c r="V22">
        <v>0</v>
      </c>
      <c r="X22">
        <v>21</v>
      </c>
      <c r="Y22">
        <v>59.857142857142861</v>
      </c>
      <c r="AA22">
        <v>21</v>
      </c>
      <c r="AB22">
        <v>241</v>
      </c>
      <c r="AC22">
        <v>153</v>
      </c>
      <c r="AD22">
        <v>0</v>
      </c>
      <c r="AQ22">
        <v>21</v>
      </c>
      <c r="AR22">
        <v>0</v>
      </c>
      <c r="AS22">
        <v>47</v>
      </c>
    </row>
    <row r="23" spans="1:45">
      <c r="A23">
        <v>22</v>
      </c>
      <c r="B23">
        <v>0</v>
      </c>
      <c r="C23">
        <v>24</v>
      </c>
      <c r="D23">
        <v>0</v>
      </c>
      <c r="F23">
        <v>22</v>
      </c>
      <c r="G23">
        <v>15</v>
      </c>
      <c r="H23">
        <v>9</v>
      </c>
      <c r="J23">
        <v>22</v>
      </c>
      <c r="K23">
        <v>2</v>
      </c>
      <c r="L23">
        <v>19909</v>
      </c>
      <c r="N23">
        <v>22</v>
      </c>
      <c r="O23">
        <v>0</v>
      </c>
      <c r="P23">
        <v>0</v>
      </c>
      <c r="Q23">
        <v>0</v>
      </c>
      <c r="S23">
        <v>22</v>
      </c>
      <c r="T23">
        <v>759</v>
      </c>
      <c r="U23">
        <v>71</v>
      </c>
      <c r="V23">
        <v>0</v>
      </c>
      <c r="X23">
        <v>22</v>
      </c>
      <c r="Y23">
        <v>58.285714285714278</v>
      </c>
      <c r="AA23">
        <v>22</v>
      </c>
      <c r="AB23">
        <v>241</v>
      </c>
      <c r="AC23">
        <v>129</v>
      </c>
      <c r="AD23">
        <v>0</v>
      </c>
      <c r="AQ23">
        <v>22</v>
      </c>
      <c r="AR23">
        <v>0</v>
      </c>
      <c r="AS23">
        <v>24</v>
      </c>
    </row>
    <row r="24" spans="1:45">
      <c r="A24">
        <v>23</v>
      </c>
      <c r="B24">
        <v>0</v>
      </c>
      <c r="C24">
        <v>34</v>
      </c>
      <c r="D24">
        <v>0</v>
      </c>
      <c r="F24">
        <v>23</v>
      </c>
      <c r="G24">
        <v>15</v>
      </c>
      <c r="H24">
        <v>19</v>
      </c>
      <c r="J24">
        <v>23</v>
      </c>
      <c r="K24">
        <v>4</v>
      </c>
      <c r="L24">
        <v>19905</v>
      </c>
      <c r="N24">
        <v>23</v>
      </c>
      <c r="O24">
        <v>0</v>
      </c>
      <c r="P24">
        <v>0</v>
      </c>
      <c r="Q24">
        <v>0</v>
      </c>
      <c r="S24">
        <v>23</v>
      </c>
      <c r="T24">
        <v>759</v>
      </c>
      <c r="U24">
        <v>105</v>
      </c>
      <c r="V24">
        <v>0</v>
      </c>
      <c r="X24">
        <v>23</v>
      </c>
      <c r="Y24">
        <v>55.857142857142861</v>
      </c>
      <c r="AA24">
        <v>23</v>
      </c>
      <c r="AB24">
        <v>241</v>
      </c>
      <c r="AC24">
        <v>95</v>
      </c>
      <c r="AD24">
        <v>0</v>
      </c>
      <c r="AQ24">
        <v>23</v>
      </c>
      <c r="AR24">
        <v>0</v>
      </c>
      <c r="AS24">
        <v>34</v>
      </c>
    </row>
    <row r="25" spans="1:45">
      <c r="A25">
        <v>24</v>
      </c>
      <c r="B25">
        <v>0</v>
      </c>
      <c r="C25">
        <v>37</v>
      </c>
      <c r="D25">
        <v>0</v>
      </c>
      <c r="F25">
        <v>24</v>
      </c>
      <c r="G25">
        <v>23</v>
      </c>
      <c r="H25">
        <v>14</v>
      </c>
      <c r="J25">
        <v>24</v>
      </c>
      <c r="K25">
        <v>4</v>
      </c>
      <c r="L25">
        <v>19901</v>
      </c>
      <c r="N25">
        <v>24</v>
      </c>
      <c r="O25">
        <v>0</v>
      </c>
      <c r="P25">
        <v>400</v>
      </c>
      <c r="Q25">
        <v>0</v>
      </c>
      <c r="S25">
        <v>24</v>
      </c>
      <c r="T25">
        <v>759</v>
      </c>
      <c r="U25">
        <v>142</v>
      </c>
      <c r="V25">
        <v>0</v>
      </c>
      <c r="X25">
        <v>24</v>
      </c>
      <c r="Y25">
        <v>56</v>
      </c>
      <c r="AA25">
        <v>24</v>
      </c>
      <c r="AB25">
        <v>241</v>
      </c>
      <c r="AC25">
        <v>458</v>
      </c>
      <c r="AD25">
        <v>0</v>
      </c>
      <c r="AQ25">
        <v>24</v>
      </c>
      <c r="AR25">
        <v>400</v>
      </c>
      <c r="AS25">
        <v>37</v>
      </c>
    </row>
    <row r="26" spans="1:45">
      <c r="A26">
        <v>25</v>
      </c>
      <c r="B26">
        <v>0</v>
      </c>
      <c r="C26">
        <v>37</v>
      </c>
      <c r="D26">
        <v>0</v>
      </c>
      <c r="F26">
        <v>25</v>
      </c>
      <c r="G26">
        <v>15</v>
      </c>
      <c r="H26">
        <v>22</v>
      </c>
      <c r="J26">
        <v>25</v>
      </c>
      <c r="K26">
        <v>4</v>
      </c>
      <c r="L26">
        <v>19897</v>
      </c>
      <c r="N26">
        <v>25</v>
      </c>
      <c r="O26">
        <v>0</v>
      </c>
      <c r="P26">
        <v>0</v>
      </c>
      <c r="Q26">
        <v>0</v>
      </c>
      <c r="S26">
        <v>25</v>
      </c>
      <c r="T26">
        <v>759</v>
      </c>
      <c r="U26">
        <v>179</v>
      </c>
      <c r="V26">
        <v>0</v>
      </c>
      <c r="X26">
        <v>25</v>
      </c>
      <c r="Y26">
        <v>56.857142857142861</v>
      </c>
      <c r="AA26">
        <v>25</v>
      </c>
      <c r="AB26">
        <v>241</v>
      </c>
      <c r="AC26">
        <v>421</v>
      </c>
      <c r="AD26">
        <v>0</v>
      </c>
      <c r="AQ26">
        <v>25</v>
      </c>
      <c r="AR26">
        <v>0</v>
      </c>
      <c r="AS26">
        <v>37</v>
      </c>
    </row>
    <row r="27" spans="1:45">
      <c r="A27">
        <v>26</v>
      </c>
      <c r="B27">
        <v>0</v>
      </c>
      <c r="C27">
        <v>43</v>
      </c>
      <c r="D27">
        <v>0</v>
      </c>
      <c r="F27">
        <v>26</v>
      </c>
      <c r="G27">
        <v>21</v>
      </c>
      <c r="H27">
        <v>22</v>
      </c>
      <c r="J27">
        <v>26</v>
      </c>
      <c r="K27">
        <v>4</v>
      </c>
      <c r="L27">
        <v>19893</v>
      </c>
      <c r="N27">
        <v>26</v>
      </c>
      <c r="O27">
        <v>0</v>
      </c>
      <c r="P27">
        <v>0</v>
      </c>
      <c r="Q27">
        <v>0</v>
      </c>
      <c r="S27">
        <v>26</v>
      </c>
      <c r="T27">
        <v>759</v>
      </c>
      <c r="U27">
        <v>222</v>
      </c>
      <c r="V27">
        <v>0</v>
      </c>
      <c r="X27">
        <v>26</v>
      </c>
      <c r="Y27">
        <v>59.857142857142861</v>
      </c>
      <c r="AA27">
        <v>26</v>
      </c>
      <c r="AB27">
        <v>241</v>
      </c>
      <c r="AC27">
        <v>378</v>
      </c>
      <c r="AD27">
        <v>0</v>
      </c>
      <c r="AQ27">
        <v>26</v>
      </c>
      <c r="AR27">
        <v>0</v>
      </c>
      <c r="AS27">
        <v>43</v>
      </c>
    </row>
    <row r="28" spans="1:45">
      <c r="A28">
        <v>27</v>
      </c>
      <c r="B28">
        <v>0</v>
      </c>
      <c r="C28">
        <v>37</v>
      </c>
      <c r="D28">
        <v>0</v>
      </c>
      <c r="F28">
        <v>27</v>
      </c>
      <c r="G28">
        <v>18</v>
      </c>
      <c r="H28">
        <v>19</v>
      </c>
      <c r="J28">
        <v>27</v>
      </c>
      <c r="K28">
        <v>5</v>
      </c>
      <c r="L28">
        <v>19888</v>
      </c>
      <c r="N28">
        <v>27</v>
      </c>
      <c r="O28">
        <v>0</v>
      </c>
      <c r="P28">
        <v>0</v>
      </c>
      <c r="Q28">
        <v>0</v>
      </c>
      <c r="S28">
        <v>27</v>
      </c>
      <c r="T28">
        <v>759</v>
      </c>
      <c r="U28">
        <v>259</v>
      </c>
      <c r="V28">
        <v>0</v>
      </c>
      <c r="X28">
        <v>27</v>
      </c>
      <c r="Y28">
        <v>61</v>
      </c>
      <c r="AA28">
        <v>27</v>
      </c>
      <c r="AB28">
        <v>241</v>
      </c>
      <c r="AC28">
        <v>341</v>
      </c>
      <c r="AD28">
        <v>0</v>
      </c>
      <c r="AQ28">
        <v>27</v>
      </c>
      <c r="AR28">
        <v>0</v>
      </c>
      <c r="AS28">
        <v>37</v>
      </c>
    </row>
    <row r="29" spans="1:45">
      <c r="A29">
        <v>28</v>
      </c>
      <c r="B29">
        <v>0</v>
      </c>
      <c r="C29">
        <v>38</v>
      </c>
      <c r="D29">
        <v>0</v>
      </c>
      <c r="F29">
        <v>28</v>
      </c>
      <c r="G29">
        <v>23</v>
      </c>
      <c r="H29">
        <v>15</v>
      </c>
      <c r="J29">
        <v>28</v>
      </c>
      <c r="K29">
        <v>4</v>
      </c>
      <c r="L29">
        <v>19884</v>
      </c>
      <c r="N29">
        <v>28</v>
      </c>
      <c r="O29">
        <v>0</v>
      </c>
      <c r="P29">
        <v>0</v>
      </c>
      <c r="Q29">
        <v>0</v>
      </c>
      <c r="S29">
        <v>28</v>
      </c>
      <c r="T29">
        <v>759</v>
      </c>
      <c r="U29">
        <v>297</v>
      </c>
      <c r="V29">
        <v>0</v>
      </c>
      <c r="X29">
        <v>28</v>
      </c>
      <c r="Y29">
        <v>60.714285714285715</v>
      </c>
      <c r="AA29">
        <v>28</v>
      </c>
      <c r="AB29">
        <v>241</v>
      </c>
      <c r="AC29">
        <v>303</v>
      </c>
      <c r="AD29">
        <v>0</v>
      </c>
      <c r="AQ29">
        <v>28</v>
      </c>
      <c r="AR29">
        <v>0</v>
      </c>
      <c r="AS29">
        <v>38</v>
      </c>
    </row>
    <row r="30" spans="1:45">
      <c r="A30">
        <v>29</v>
      </c>
      <c r="B30">
        <v>0</v>
      </c>
      <c r="C30">
        <v>29</v>
      </c>
      <c r="D30">
        <v>0</v>
      </c>
      <c r="F30">
        <v>29</v>
      </c>
      <c r="G30">
        <v>12</v>
      </c>
      <c r="H30">
        <v>17</v>
      </c>
      <c r="J30">
        <v>29</v>
      </c>
      <c r="K30">
        <v>0</v>
      </c>
      <c r="L30">
        <v>19884</v>
      </c>
      <c r="N30">
        <v>29</v>
      </c>
      <c r="O30">
        <v>0</v>
      </c>
      <c r="P30">
        <v>0</v>
      </c>
      <c r="Q30">
        <v>0</v>
      </c>
      <c r="S30">
        <v>29</v>
      </c>
      <c r="T30">
        <v>759</v>
      </c>
      <c r="U30">
        <v>326</v>
      </c>
      <c r="V30">
        <v>0</v>
      </c>
      <c r="X30">
        <v>29</v>
      </c>
      <c r="Y30">
        <v>62.428571428571431</v>
      </c>
      <c r="AA30">
        <v>29</v>
      </c>
      <c r="AB30">
        <v>241</v>
      </c>
      <c r="AC30">
        <v>274</v>
      </c>
      <c r="AD30">
        <v>0</v>
      </c>
      <c r="AQ30">
        <v>29</v>
      </c>
      <c r="AR30">
        <v>0</v>
      </c>
      <c r="AS30">
        <v>29</v>
      </c>
    </row>
    <row r="31" spans="1:45">
      <c r="A31">
        <v>30</v>
      </c>
      <c r="B31">
        <v>0</v>
      </c>
      <c r="C31">
        <v>30</v>
      </c>
      <c r="D31">
        <v>0</v>
      </c>
      <c r="F31">
        <v>30</v>
      </c>
      <c r="G31">
        <v>15</v>
      </c>
      <c r="H31">
        <v>15</v>
      </c>
      <c r="J31">
        <v>30</v>
      </c>
      <c r="K31">
        <v>2</v>
      </c>
      <c r="L31">
        <v>19882</v>
      </c>
      <c r="N31">
        <v>30</v>
      </c>
      <c r="O31">
        <v>0</v>
      </c>
      <c r="P31">
        <v>200</v>
      </c>
      <c r="Q31">
        <v>200</v>
      </c>
      <c r="S31">
        <v>30</v>
      </c>
      <c r="T31">
        <v>759</v>
      </c>
      <c r="U31">
        <v>356</v>
      </c>
      <c r="V31">
        <v>0</v>
      </c>
      <c r="X31">
        <v>30</v>
      </c>
      <c r="Y31">
        <v>62.857142857142854</v>
      </c>
      <c r="AA31">
        <v>30</v>
      </c>
      <c r="AB31">
        <v>241</v>
      </c>
      <c r="AC31">
        <v>444</v>
      </c>
      <c r="AD31">
        <v>200</v>
      </c>
      <c r="AQ31">
        <v>30</v>
      </c>
      <c r="AR31">
        <v>400</v>
      </c>
      <c r="AS31">
        <v>30</v>
      </c>
    </row>
    <row r="32" spans="1:45">
      <c r="A32">
        <v>31</v>
      </c>
      <c r="B32">
        <v>0</v>
      </c>
      <c r="C32">
        <v>39</v>
      </c>
      <c r="D32">
        <v>0</v>
      </c>
      <c r="F32">
        <v>31</v>
      </c>
      <c r="G32">
        <v>17</v>
      </c>
      <c r="H32">
        <v>22</v>
      </c>
      <c r="J32">
        <v>31</v>
      </c>
      <c r="K32">
        <v>2</v>
      </c>
      <c r="L32">
        <v>19880</v>
      </c>
      <c r="N32">
        <v>31</v>
      </c>
      <c r="O32">
        <v>0</v>
      </c>
      <c r="P32">
        <v>0</v>
      </c>
      <c r="Q32">
        <v>0</v>
      </c>
      <c r="S32">
        <v>31</v>
      </c>
      <c r="T32">
        <v>759</v>
      </c>
      <c r="U32">
        <v>395</v>
      </c>
      <c r="V32">
        <v>0</v>
      </c>
      <c r="X32">
        <v>31</v>
      </c>
      <c r="Y32">
        <v>64.142857142857139</v>
      </c>
      <c r="AA32">
        <v>31</v>
      </c>
      <c r="AB32">
        <v>241</v>
      </c>
      <c r="AC32">
        <v>405</v>
      </c>
      <c r="AD32">
        <v>200</v>
      </c>
      <c r="AQ32">
        <v>31</v>
      </c>
      <c r="AR32">
        <v>0</v>
      </c>
      <c r="AS32">
        <v>39</v>
      </c>
    </row>
    <row r="33" spans="1:45">
      <c r="A33">
        <v>32</v>
      </c>
      <c r="B33">
        <v>0</v>
      </c>
      <c r="C33">
        <v>30</v>
      </c>
      <c r="D33">
        <v>0</v>
      </c>
      <c r="F33">
        <v>32</v>
      </c>
      <c r="G33">
        <v>14</v>
      </c>
      <c r="H33">
        <v>16</v>
      </c>
      <c r="J33">
        <v>32</v>
      </c>
      <c r="K33">
        <v>3</v>
      </c>
      <c r="L33">
        <v>19877</v>
      </c>
      <c r="N33">
        <v>32</v>
      </c>
      <c r="O33">
        <v>0</v>
      </c>
      <c r="P33">
        <v>0</v>
      </c>
      <c r="Q33">
        <v>0</v>
      </c>
      <c r="S33">
        <v>32</v>
      </c>
      <c r="T33">
        <v>759</v>
      </c>
      <c r="U33">
        <v>425</v>
      </c>
      <c r="V33">
        <v>0</v>
      </c>
      <c r="X33">
        <v>32</v>
      </c>
      <c r="Y33">
        <v>64.142857142857139</v>
      </c>
      <c r="AA33">
        <v>32</v>
      </c>
      <c r="AB33">
        <v>241</v>
      </c>
      <c r="AC33">
        <v>375</v>
      </c>
      <c r="AD33">
        <v>200</v>
      </c>
      <c r="AQ33">
        <v>32</v>
      </c>
      <c r="AR33">
        <v>0</v>
      </c>
      <c r="AS33">
        <v>30</v>
      </c>
    </row>
    <row r="34" spans="1:45">
      <c r="A34">
        <v>33</v>
      </c>
      <c r="B34">
        <v>0</v>
      </c>
      <c r="C34">
        <v>33</v>
      </c>
      <c r="D34">
        <v>0</v>
      </c>
      <c r="F34">
        <v>33</v>
      </c>
      <c r="G34">
        <v>19</v>
      </c>
      <c r="H34">
        <v>14</v>
      </c>
      <c r="J34">
        <v>33</v>
      </c>
      <c r="K34">
        <v>5</v>
      </c>
      <c r="L34">
        <v>19872</v>
      </c>
      <c r="N34">
        <v>33</v>
      </c>
      <c r="O34">
        <v>0</v>
      </c>
      <c r="P34">
        <v>0</v>
      </c>
      <c r="Q34">
        <v>0</v>
      </c>
      <c r="S34">
        <v>33</v>
      </c>
      <c r="T34">
        <v>759</v>
      </c>
      <c r="U34">
        <v>458</v>
      </c>
      <c r="V34">
        <v>0</v>
      </c>
      <c r="X34">
        <v>33</v>
      </c>
      <c r="Y34">
        <v>63.714285714285715</v>
      </c>
      <c r="AA34">
        <v>33</v>
      </c>
      <c r="AB34">
        <v>241</v>
      </c>
      <c r="AC34">
        <v>342</v>
      </c>
      <c r="AD34">
        <v>200</v>
      </c>
      <c r="AQ34">
        <v>33</v>
      </c>
      <c r="AR34">
        <v>0</v>
      </c>
      <c r="AS34">
        <v>33</v>
      </c>
    </row>
    <row r="35" spans="1:45">
      <c r="A35">
        <v>34</v>
      </c>
      <c r="B35">
        <v>0</v>
      </c>
      <c r="C35">
        <v>39</v>
      </c>
      <c r="D35">
        <v>0</v>
      </c>
      <c r="F35">
        <v>34</v>
      </c>
      <c r="G35">
        <v>24</v>
      </c>
      <c r="H35">
        <v>15</v>
      </c>
      <c r="J35">
        <v>34</v>
      </c>
      <c r="K35">
        <v>4</v>
      </c>
      <c r="L35">
        <v>19868</v>
      </c>
      <c r="N35">
        <v>34</v>
      </c>
      <c r="O35">
        <v>0</v>
      </c>
      <c r="P35">
        <v>0</v>
      </c>
      <c r="Q35">
        <v>0</v>
      </c>
      <c r="S35">
        <v>34</v>
      </c>
      <c r="T35">
        <v>759</v>
      </c>
      <c r="U35">
        <v>497</v>
      </c>
      <c r="V35">
        <v>0</v>
      </c>
      <c r="X35">
        <v>34</v>
      </c>
      <c r="Y35">
        <v>65</v>
      </c>
      <c r="AA35">
        <v>34</v>
      </c>
      <c r="AB35">
        <v>241</v>
      </c>
      <c r="AC35">
        <v>303</v>
      </c>
      <c r="AD35">
        <v>200</v>
      </c>
      <c r="AQ35">
        <v>34</v>
      </c>
      <c r="AR35">
        <v>0</v>
      </c>
      <c r="AS35">
        <v>39</v>
      </c>
    </row>
    <row r="36" spans="1:45">
      <c r="A36">
        <v>35</v>
      </c>
      <c r="B36">
        <v>0</v>
      </c>
      <c r="C36">
        <v>44</v>
      </c>
      <c r="D36">
        <v>0</v>
      </c>
      <c r="F36">
        <v>35</v>
      </c>
      <c r="G36">
        <v>26</v>
      </c>
      <c r="H36">
        <v>18</v>
      </c>
      <c r="J36">
        <v>35</v>
      </c>
      <c r="K36">
        <v>4</v>
      </c>
      <c r="L36">
        <v>19864</v>
      </c>
      <c r="N36">
        <v>35</v>
      </c>
      <c r="O36">
        <v>0</v>
      </c>
      <c r="P36">
        <v>0</v>
      </c>
      <c r="Q36">
        <v>0</v>
      </c>
      <c r="S36">
        <v>35</v>
      </c>
      <c r="T36">
        <v>759</v>
      </c>
      <c r="U36">
        <v>541</v>
      </c>
      <c r="V36">
        <v>0</v>
      </c>
      <c r="X36">
        <v>35</v>
      </c>
      <c r="Y36">
        <v>66.857142857142861</v>
      </c>
      <c r="AA36">
        <v>35</v>
      </c>
      <c r="AB36">
        <v>241</v>
      </c>
      <c r="AC36">
        <v>259</v>
      </c>
      <c r="AD36">
        <v>200</v>
      </c>
      <c r="AQ36">
        <v>35</v>
      </c>
      <c r="AR36">
        <v>0</v>
      </c>
      <c r="AS36">
        <v>44</v>
      </c>
    </row>
    <row r="37" spans="1:45">
      <c r="A37">
        <v>36</v>
      </c>
      <c r="B37">
        <v>0</v>
      </c>
      <c r="C37">
        <v>32</v>
      </c>
      <c r="D37">
        <v>0</v>
      </c>
      <c r="F37">
        <v>36</v>
      </c>
      <c r="G37">
        <v>17</v>
      </c>
      <c r="H37">
        <v>15</v>
      </c>
      <c r="J37">
        <v>36</v>
      </c>
      <c r="K37">
        <v>2</v>
      </c>
      <c r="L37">
        <v>19862</v>
      </c>
      <c r="N37">
        <v>36</v>
      </c>
      <c r="O37">
        <v>0</v>
      </c>
      <c r="P37">
        <v>0</v>
      </c>
      <c r="Q37">
        <v>400</v>
      </c>
      <c r="S37">
        <v>36</v>
      </c>
      <c r="T37">
        <v>759</v>
      </c>
      <c r="U37">
        <v>573</v>
      </c>
      <c r="V37">
        <v>0</v>
      </c>
      <c r="X37">
        <v>36</v>
      </c>
      <c r="Y37">
        <v>68.285714285714278</v>
      </c>
      <c r="AA37">
        <v>36</v>
      </c>
      <c r="AB37">
        <v>241</v>
      </c>
      <c r="AC37">
        <v>227</v>
      </c>
      <c r="AD37">
        <v>600</v>
      </c>
      <c r="AQ37">
        <v>36</v>
      </c>
      <c r="AR37">
        <v>400</v>
      </c>
      <c r="AS37">
        <v>32</v>
      </c>
    </row>
    <row r="38" spans="1:45">
      <c r="A38">
        <v>37</v>
      </c>
      <c r="B38">
        <v>0</v>
      </c>
      <c r="C38">
        <v>0</v>
      </c>
      <c r="D38">
        <v>34</v>
      </c>
      <c r="F38">
        <v>37</v>
      </c>
      <c r="G38">
        <v>16</v>
      </c>
      <c r="H38">
        <v>18</v>
      </c>
      <c r="J38">
        <v>37</v>
      </c>
      <c r="K38">
        <v>5</v>
      </c>
      <c r="L38">
        <v>19857</v>
      </c>
      <c r="N38">
        <v>37</v>
      </c>
      <c r="O38">
        <v>0</v>
      </c>
      <c r="P38">
        <v>0</v>
      </c>
      <c r="Q38">
        <v>0</v>
      </c>
      <c r="S38">
        <v>37</v>
      </c>
      <c r="T38">
        <v>759</v>
      </c>
      <c r="U38">
        <v>573</v>
      </c>
      <c r="V38">
        <v>34</v>
      </c>
      <c r="X38">
        <v>37</v>
      </c>
      <c r="Y38">
        <v>65</v>
      </c>
      <c r="AA38">
        <v>37</v>
      </c>
      <c r="AB38">
        <v>241</v>
      </c>
      <c r="AC38">
        <v>227</v>
      </c>
      <c r="AD38">
        <v>566</v>
      </c>
      <c r="AQ38">
        <v>37</v>
      </c>
      <c r="AR38">
        <v>0</v>
      </c>
      <c r="AS38">
        <v>34</v>
      </c>
    </row>
    <row r="39" spans="1:45">
      <c r="A39">
        <v>38</v>
      </c>
      <c r="B39">
        <v>0</v>
      </c>
      <c r="C39">
        <v>0</v>
      </c>
      <c r="D39">
        <v>21</v>
      </c>
      <c r="F39">
        <v>38</v>
      </c>
      <c r="G39">
        <v>12</v>
      </c>
      <c r="H39">
        <v>9</v>
      </c>
      <c r="J39">
        <v>38</v>
      </c>
      <c r="K39">
        <v>0</v>
      </c>
      <c r="L39">
        <v>19857</v>
      </c>
      <c r="N39">
        <v>38</v>
      </c>
      <c r="O39">
        <v>0</v>
      </c>
      <c r="P39">
        <v>0</v>
      </c>
      <c r="Q39">
        <v>0</v>
      </c>
      <c r="S39">
        <v>38</v>
      </c>
      <c r="T39">
        <v>759</v>
      </c>
      <c r="U39">
        <v>573</v>
      </c>
      <c r="V39">
        <v>55</v>
      </c>
      <c r="X39">
        <v>38</v>
      </c>
      <c r="Y39">
        <v>60.428571428571431</v>
      </c>
      <c r="AA39">
        <v>38</v>
      </c>
      <c r="AB39">
        <v>241</v>
      </c>
      <c r="AC39">
        <v>227</v>
      </c>
      <c r="AD39">
        <v>545</v>
      </c>
      <c r="AQ39">
        <v>38</v>
      </c>
      <c r="AR39">
        <v>0</v>
      </c>
      <c r="AS39">
        <v>21</v>
      </c>
    </row>
    <row r="40" spans="1:45">
      <c r="A40">
        <v>39</v>
      </c>
      <c r="B40">
        <v>0</v>
      </c>
      <c r="C40">
        <v>0</v>
      </c>
      <c r="D40">
        <v>41</v>
      </c>
      <c r="F40">
        <v>39</v>
      </c>
      <c r="G40">
        <v>18</v>
      </c>
      <c r="H40">
        <v>23</v>
      </c>
      <c r="J40">
        <v>39</v>
      </c>
      <c r="K40">
        <v>3</v>
      </c>
      <c r="L40">
        <v>19854</v>
      </c>
      <c r="N40">
        <v>39</v>
      </c>
      <c r="O40">
        <v>0</v>
      </c>
      <c r="P40">
        <v>0</v>
      </c>
      <c r="Q40">
        <v>0</v>
      </c>
      <c r="S40">
        <v>39</v>
      </c>
      <c r="T40">
        <v>759</v>
      </c>
      <c r="U40">
        <v>573</v>
      </c>
      <c r="V40">
        <v>96</v>
      </c>
      <c r="X40">
        <v>39</v>
      </c>
      <c r="Y40">
        <v>57.142857142857139</v>
      </c>
      <c r="AA40">
        <v>39</v>
      </c>
      <c r="AB40">
        <v>241</v>
      </c>
      <c r="AC40">
        <v>227</v>
      </c>
      <c r="AD40">
        <v>504</v>
      </c>
      <c r="AQ40">
        <v>39</v>
      </c>
      <c r="AR40">
        <v>0</v>
      </c>
      <c r="AS40">
        <v>41</v>
      </c>
    </row>
    <row r="41" spans="1:45">
      <c r="A41">
        <v>40</v>
      </c>
      <c r="B41">
        <v>0</v>
      </c>
      <c r="C41">
        <v>0</v>
      </c>
      <c r="D41">
        <v>40</v>
      </c>
      <c r="F41">
        <v>40</v>
      </c>
      <c r="G41">
        <v>20</v>
      </c>
      <c r="H41">
        <v>20</v>
      </c>
      <c r="J41">
        <v>40</v>
      </c>
      <c r="K41">
        <v>4</v>
      </c>
      <c r="L41">
        <v>19850</v>
      </c>
      <c r="N41">
        <v>40</v>
      </c>
      <c r="O41">
        <v>0</v>
      </c>
      <c r="P41">
        <v>0</v>
      </c>
      <c r="Q41">
        <v>0</v>
      </c>
      <c r="S41">
        <v>40</v>
      </c>
      <c r="T41">
        <v>759</v>
      </c>
      <c r="U41">
        <v>573</v>
      </c>
      <c r="V41">
        <v>136</v>
      </c>
      <c r="X41">
        <v>40</v>
      </c>
      <c r="Y41">
        <v>53.428571428571431</v>
      </c>
      <c r="AA41">
        <v>40</v>
      </c>
      <c r="AB41">
        <v>241</v>
      </c>
      <c r="AC41">
        <v>227</v>
      </c>
      <c r="AD41">
        <v>464</v>
      </c>
      <c r="AQ41">
        <v>40</v>
      </c>
      <c r="AR41">
        <v>0</v>
      </c>
      <c r="AS41">
        <v>40</v>
      </c>
    </row>
    <row r="42" spans="1:45">
      <c r="A42">
        <v>41</v>
      </c>
      <c r="B42">
        <v>0</v>
      </c>
      <c r="C42">
        <v>0</v>
      </c>
      <c r="D42">
        <v>26</v>
      </c>
      <c r="F42">
        <v>41</v>
      </c>
      <c r="G42">
        <v>14</v>
      </c>
      <c r="H42">
        <v>12</v>
      </c>
      <c r="J42">
        <v>41</v>
      </c>
      <c r="K42">
        <v>3</v>
      </c>
      <c r="L42">
        <v>19847</v>
      </c>
      <c r="N42">
        <v>41</v>
      </c>
      <c r="O42">
        <v>0</v>
      </c>
      <c r="P42">
        <v>0</v>
      </c>
      <c r="Q42">
        <v>0</v>
      </c>
      <c r="S42">
        <v>41</v>
      </c>
      <c r="T42">
        <v>759</v>
      </c>
      <c r="U42">
        <v>573</v>
      </c>
      <c r="V42">
        <v>162</v>
      </c>
      <c r="X42">
        <v>41</v>
      </c>
      <c r="Y42">
        <v>48.857142857142861</v>
      </c>
      <c r="AA42">
        <v>41</v>
      </c>
      <c r="AB42">
        <v>241</v>
      </c>
      <c r="AC42">
        <v>227</v>
      </c>
      <c r="AD42">
        <v>438</v>
      </c>
      <c r="AQ42">
        <v>41</v>
      </c>
      <c r="AR42">
        <v>0</v>
      </c>
      <c r="AS42">
        <v>26</v>
      </c>
    </row>
    <row r="43" spans="1:45">
      <c r="A43">
        <v>42</v>
      </c>
      <c r="B43">
        <v>0</v>
      </c>
      <c r="C43">
        <v>0</v>
      </c>
      <c r="D43">
        <v>47</v>
      </c>
      <c r="F43">
        <v>42</v>
      </c>
      <c r="G43">
        <v>23</v>
      </c>
      <c r="H43">
        <v>24</v>
      </c>
      <c r="J43">
        <v>42</v>
      </c>
      <c r="K43">
        <v>7</v>
      </c>
      <c r="L43">
        <v>19840</v>
      </c>
      <c r="N43">
        <v>42</v>
      </c>
      <c r="O43">
        <v>0</v>
      </c>
      <c r="P43">
        <v>0</v>
      </c>
      <c r="Q43">
        <v>0</v>
      </c>
      <c r="S43">
        <v>42</v>
      </c>
      <c r="T43">
        <v>759</v>
      </c>
      <c r="U43">
        <v>573</v>
      </c>
      <c r="V43">
        <v>209</v>
      </c>
      <c r="X43">
        <v>42</v>
      </c>
      <c r="Y43">
        <v>43.571428571428569</v>
      </c>
      <c r="AA43">
        <v>42</v>
      </c>
      <c r="AB43">
        <v>241</v>
      </c>
      <c r="AC43">
        <v>227</v>
      </c>
      <c r="AD43">
        <v>391</v>
      </c>
      <c r="AQ43">
        <v>42</v>
      </c>
      <c r="AR43">
        <v>0</v>
      </c>
      <c r="AS43">
        <v>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Button1_Click">
                <anchor moveWithCells="1" sizeWithCells="1">
                  <from>
                    <xdr:col>21</xdr:col>
                    <xdr:colOff>215900</xdr:colOff>
                    <xdr:row>66</xdr:row>
                    <xdr:rowOff>63500</xdr:rowOff>
                  </from>
                  <to>
                    <xdr:col>24</xdr:col>
                    <xdr:colOff>381000</xdr:colOff>
                    <xdr:row>71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CB645-CD15-DF4E-B137-2D7DD03E9D3F}">
  <dimension ref="A1:L85"/>
  <sheetViews>
    <sheetView workbookViewId="0">
      <selection sqref="A1:L85"/>
    </sheetView>
  </sheetViews>
  <sheetFormatPr baseColWidth="10" defaultRowHeight="15"/>
  <cols>
    <col min="1" max="1" width="10.5" customWidth="1"/>
    <col min="2" max="5" width="8.83203125" customWidth="1"/>
    <col min="6" max="6" width="12.6640625" customWidth="1"/>
    <col min="7" max="7" width="10.5" customWidth="1"/>
    <col min="8" max="8" width="21.83203125" customWidth="1"/>
    <col min="9" max="9" width="6.83203125" customWidth="1"/>
    <col min="10" max="10" width="35.33203125" customWidth="1"/>
    <col min="11" max="11" width="25.1640625" customWidth="1"/>
    <col min="12" max="12" width="19.1640625" customWidth="1"/>
  </cols>
  <sheetData>
    <row r="1" spans="1:12">
      <c r="A1" s="11" t="s">
        <v>7</v>
      </c>
      <c r="B1" s="4" t="s">
        <v>10</v>
      </c>
      <c r="C1" s="11" t="s">
        <v>6</v>
      </c>
      <c r="D1" s="1" t="s">
        <v>8</v>
      </c>
      <c r="E1" s="11" t="s">
        <v>9</v>
      </c>
      <c r="F1" s="12" t="s">
        <v>0</v>
      </c>
      <c r="G1" s="13" t="s">
        <v>1</v>
      </c>
      <c r="H1" s="2" t="s">
        <v>14</v>
      </c>
      <c r="I1" s="1"/>
      <c r="J1" s="1"/>
      <c r="K1" s="1" t="s">
        <v>13</v>
      </c>
      <c r="L1" s="1">
        <v>20000</v>
      </c>
    </row>
    <row r="2" spans="1:12">
      <c r="A2" s="3">
        <v>45658</v>
      </c>
      <c r="B2" s="4">
        <v>1</v>
      </c>
      <c r="C2" t="s">
        <v>12</v>
      </c>
      <c r="D2" s="1" t="s">
        <v>11</v>
      </c>
      <c r="E2">
        <v>16</v>
      </c>
      <c r="F2">
        <v>2</v>
      </c>
      <c r="G2" s="1">
        <v>8998</v>
      </c>
      <c r="H2" s="1"/>
      <c r="I2" s="1">
        <v>1</v>
      </c>
      <c r="J2" s="1" t="s">
        <v>81</v>
      </c>
      <c r="K2" s="1" t="s">
        <v>16</v>
      </c>
      <c r="L2" s="1">
        <v>9000</v>
      </c>
    </row>
    <row r="3" spans="1:12">
      <c r="A3" s="3">
        <v>45658</v>
      </c>
      <c r="B3" s="4">
        <v>1</v>
      </c>
      <c r="C3" t="s">
        <v>17</v>
      </c>
      <c r="D3" s="1" t="s">
        <v>11</v>
      </c>
      <c r="E3">
        <v>22</v>
      </c>
      <c r="F3">
        <v>0</v>
      </c>
      <c r="G3" s="1">
        <v>11000</v>
      </c>
      <c r="H3" s="1"/>
      <c r="I3" s="1">
        <v>1</v>
      </c>
      <c r="J3" s="1" t="s">
        <v>81</v>
      </c>
      <c r="K3" s="1" t="s">
        <v>15</v>
      </c>
      <c r="L3" s="1">
        <v>11000</v>
      </c>
    </row>
    <row r="4" spans="1:12">
      <c r="A4" s="3">
        <v>45659</v>
      </c>
      <c r="B4" s="4">
        <v>2</v>
      </c>
      <c r="C4" t="s">
        <v>12</v>
      </c>
      <c r="D4" s="1" t="s">
        <v>11</v>
      </c>
      <c r="E4">
        <v>15</v>
      </c>
      <c r="F4">
        <v>4</v>
      </c>
      <c r="G4" s="1">
        <v>8994</v>
      </c>
      <c r="H4" s="1"/>
      <c r="I4" s="1"/>
      <c r="J4" s="1"/>
      <c r="K4" s="1"/>
      <c r="L4" s="1"/>
    </row>
    <row r="5" spans="1:12">
      <c r="A5" s="3">
        <v>45659</v>
      </c>
      <c r="B5" s="4">
        <v>2</v>
      </c>
      <c r="C5" t="s">
        <v>17</v>
      </c>
      <c r="D5" s="1" t="s">
        <v>11</v>
      </c>
      <c r="E5">
        <v>20</v>
      </c>
      <c r="F5">
        <v>2</v>
      </c>
      <c r="G5" s="1">
        <v>10998</v>
      </c>
      <c r="H5" s="1"/>
      <c r="I5" s="1"/>
      <c r="J5" s="1"/>
      <c r="K5" s="1"/>
      <c r="L5" s="1"/>
    </row>
    <row r="6" spans="1:12">
      <c r="A6" s="3">
        <v>45660</v>
      </c>
      <c r="B6" s="4">
        <v>3</v>
      </c>
      <c r="C6" t="s">
        <v>12</v>
      </c>
      <c r="D6" s="1" t="s">
        <v>11</v>
      </c>
      <c r="E6">
        <v>20</v>
      </c>
      <c r="F6">
        <v>1</v>
      </c>
      <c r="G6" s="1">
        <v>8993</v>
      </c>
      <c r="H6" s="1"/>
      <c r="I6" s="1"/>
      <c r="J6" s="1"/>
      <c r="K6" s="1" t="s">
        <v>58</v>
      </c>
      <c r="L6" s="1">
        <v>7</v>
      </c>
    </row>
    <row r="7" spans="1:12">
      <c r="A7" s="3">
        <v>45660</v>
      </c>
      <c r="B7" s="4">
        <v>3</v>
      </c>
      <c r="C7" t="s">
        <v>17</v>
      </c>
      <c r="D7" s="1" t="s">
        <v>11</v>
      </c>
      <c r="E7">
        <v>17</v>
      </c>
      <c r="F7">
        <v>2</v>
      </c>
      <c r="G7" s="1">
        <v>10996</v>
      </c>
      <c r="H7" s="1"/>
      <c r="I7" s="1"/>
      <c r="J7" s="1"/>
      <c r="K7" s="1"/>
      <c r="L7" s="1"/>
    </row>
    <row r="8" spans="1:12">
      <c r="A8" s="3">
        <v>45661</v>
      </c>
      <c r="B8" s="4">
        <v>4</v>
      </c>
      <c r="C8" t="s">
        <v>12</v>
      </c>
      <c r="D8" s="1" t="s">
        <v>11</v>
      </c>
      <c r="E8">
        <v>13</v>
      </c>
      <c r="F8">
        <v>1</v>
      </c>
      <c r="G8" s="1">
        <v>8992</v>
      </c>
      <c r="H8" s="1"/>
      <c r="I8" s="1"/>
      <c r="J8" s="1"/>
      <c r="K8" s="1"/>
      <c r="L8" s="1"/>
    </row>
    <row r="9" spans="1:12">
      <c r="A9" s="3">
        <v>45661</v>
      </c>
      <c r="B9" s="4">
        <v>4</v>
      </c>
      <c r="C9" t="s">
        <v>17</v>
      </c>
      <c r="D9" s="1" t="s">
        <v>11</v>
      </c>
      <c r="E9">
        <v>19</v>
      </c>
      <c r="F9">
        <v>1</v>
      </c>
      <c r="G9" s="1">
        <v>10995</v>
      </c>
      <c r="H9" s="1"/>
      <c r="I9" s="1"/>
      <c r="J9" s="1"/>
      <c r="K9" s="1"/>
      <c r="L9" s="1"/>
    </row>
    <row r="10" spans="1:12">
      <c r="A10" s="3">
        <v>45662</v>
      </c>
      <c r="B10" s="4">
        <v>5</v>
      </c>
      <c r="C10" t="s">
        <v>12</v>
      </c>
      <c r="D10" s="1" t="s">
        <v>11</v>
      </c>
      <c r="E10">
        <v>13</v>
      </c>
      <c r="F10">
        <v>3</v>
      </c>
      <c r="G10" s="1">
        <v>8989</v>
      </c>
      <c r="H10" s="1"/>
      <c r="I10" s="1"/>
      <c r="J10" s="1"/>
      <c r="K10" s="1"/>
      <c r="L10" s="1"/>
    </row>
    <row r="11" spans="1:12">
      <c r="A11" s="3">
        <v>45662</v>
      </c>
      <c r="B11" s="4">
        <v>5</v>
      </c>
      <c r="C11" t="s">
        <v>17</v>
      </c>
      <c r="D11" s="1" t="s">
        <v>11</v>
      </c>
      <c r="E11">
        <v>18</v>
      </c>
      <c r="F11">
        <v>2</v>
      </c>
      <c r="G11" s="1">
        <v>10993</v>
      </c>
      <c r="H11" s="1"/>
      <c r="I11" s="1"/>
      <c r="J11" s="1"/>
      <c r="K11" s="1"/>
      <c r="L11" s="1"/>
    </row>
    <row r="12" spans="1:12">
      <c r="A12" s="3">
        <v>45663</v>
      </c>
      <c r="B12" s="4">
        <v>6</v>
      </c>
      <c r="C12" t="s">
        <v>12</v>
      </c>
      <c r="D12" s="1" t="s">
        <v>11</v>
      </c>
      <c r="E12">
        <v>15</v>
      </c>
      <c r="F12">
        <v>0</v>
      </c>
      <c r="G12" s="1">
        <v>8989</v>
      </c>
      <c r="H12" s="1"/>
      <c r="I12" s="1"/>
      <c r="J12" s="1"/>
      <c r="K12" s="1"/>
      <c r="L12" s="1"/>
    </row>
    <row r="13" spans="1:12">
      <c r="A13" s="3">
        <v>45663</v>
      </c>
      <c r="B13" s="4">
        <v>6</v>
      </c>
      <c r="C13" t="s">
        <v>17</v>
      </c>
      <c r="D13" s="1" t="s">
        <v>11</v>
      </c>
      <c r="E13">
        <v>21</v>
      </c>
      <c r="F13">
        <v>1</v>
      </c>
      <c r="G13" s="1">
        <v>10992</v>
      </c>
      <c r="H13" s="1"/>
      <c r="I13" s="1"/>
      <c r="J13" s="1"/>
      <c r="K13" s="1"/>
      <c r="L13" s="1"/>
    </row>
    <row r="14" spans="1:12">
      <c r="A14" s="3">
        <v>45664</v>
      </c>
      <c r="B14" s="4">
        <v>7</v>
      </c>
      <c r="C14" t="s">
        <v>12</v>
      </c>
      <c r="D14" s="1" t="s">
        <v>11</v>
      </c>
      <c r="E14">
        <v>19</v>
      </c>
      <c r="F14">
        <v>3</v>
      </c>
      <c r="G14" s="1">
        <v>8986</v>
      </c>
      <c r="H14" s="1"/>
      <c r="I14" s="1"/>
      <c r="J14" s="1"/>
      <c r="K14" s="1"/>
      <c r="L14" s="1"/>
    </row>
    <row r="15" spans="1:12">
      <c r="A15" s="3">
        <v>45664</v>
      </c>
      <c r="B15" s="4">
        <v>7</v>
      </c>
      <c r="C15" t="s">
        <v>17</v>
      </c>
      <c r="D15" s="1" t="s">
        <v>11</v>
      </c>
      <c r="E15">
        <v>15</v>
      </c>
      <c r="F15">
        <v>2</v>
      </c>
      <c r="G15" s="1">
        <v>10990</v>
      </c>
      <c r="H15" s="1"/>
      <c r="I15" s="1"/>
      <c r="J15" s="1"/>
      <c r="K15" s="1"/>
      <c r="L15" s="1"/>
    </row>
    <row r="16" spans="1:12">
      <c r="A16" s="3">
        <v>45665</v>
      </c>
      <c r="B16" s="4">
        <v>8</v>
      </c>
      <c r="C16" t="s">
        <v>12</v>
      </c>
      <c r="D16" s="1" t="s">
        <v>11</v>
      </c>
      <c r="E16">
        <v>23</v>
      </c>
      <c r="F16">
        <v>1</v>
      </c>
      <c r="G16" s="1">
        <v>8985</v>
      </c>
      <c r="H16" s="1"/>
      <c r="I16" s="1">
        <v>8</v>
      </c>
      <c r="J16" s="1" t="s">
        <v>82</v>
      </c>
      <c r="K16" s="1"/>
      <c r="L16" s="1"/>
    </row>
    <row r="17" spans="1:12">
      <c r="A17" s="3">
        <v>45665</v>
      </c>
      <c r="B17" s="4">
        <v>8</v>
      </c>
      <c r="C17" t="s">
        <v>17</v>
      </c>
      <c r="D17" s="1" t="s">
        <v>11</v>
      </c>
      <c r="E17">
        <v>13</v>
      </c>
      <c r="F17">
        <v>1</v>
      </c>
      <c r="G17" s="1">
        <v>10989</v>
      </c>
      <c r="H17" s="1"/>
      <c r="I17" s="1">
        <v>8</v>
      </c>
      <c r="J17" s="1" t="s">
        <v>83</v>
      </c>
      <c r="K17" s="1"/>
      <c r="L17" s="1"/>
    </row>
    <row r="18" spans="1:12">
      <c r="A18" s="3">
        <v>45666</v>
      </c>
      <c r="B18" s="4">
        <v>9</v>
      </c>
      <c r="C18" t="s">
        <v>12</v>
      </c>
      <c r="D18" s="1" t="s">
        <v>11</v>
      </c>
      <c r="E18">
        <v>17</v>
      </c>
      <c r="F18">
        <v>2</v>
      </c>
      <c r="G18" s="1">
        <v>8983</v>
      </c>
      <c r="H18" s="1"/>
      <c r="I18" s="1"/>
      <c r="J18" s="1"/>
      <c r="K18" s="1"/>
      <c r="L18" s="1"/>
    </row>
    <row r="19" spans="1:12">
      <c r="A19" s="3">
        <v>45666</v>
      </c>
      <c r="B19" s="4">
        <v>9</v>
      </c>
      <c r="C19" t="s">
        <v>17</v>
      </c>
      <c r="D19" s="1" t="s">
        <v>11</v>
      </c>
      <c r="E19">
        <v>18</v>
      </c>
      <c r="F19">
        <v>0</v>
      </c>
      <c r="G19" s="1">
        <v>10989</v>
      </c>
      <c r="H19" s="1"/>
      <c r="I19" s="1"/>
      <c r="J19" s="1"/>
      <c r="K19" s="1"/>
      <c r="L19" s="1"/>
    </row>
    <row r="20" spans="1:12">
      <c r="A20" s="3">
        <v>45667</v>
      </c>
      <c r="B20" s="4">
        <v>10</v>
      </c>
      <c r="C20" t="s">
        <v>12</v>
      </c>
      <c r="D20" s="1" t="s">
        <v>11</v>
      </c>
      <c r="E20">
        <v>16</v>
      </c>
      <c r="F20">
        <v>2</v>
      </c>
      <c r="G20" s="1">
        <v>8981</v>
      </c>
      <c r="H20" s="1"/>
      <c r="I20" s="1"/>
      <c r="J20" s="1"/>
      <c r="K20" s="1"/>
      <c r="L20" s="1"/>
    </row>
    <row r="21" spans="1:12">
      <c r="A21" s="3">
        <v>45667</v>
      </c>
      <c r="B21" s="4">
        <v>10</v>
      </c>
      <c r="C21" t="s">
        <v>17</v>
      </c>
      <c r="D21" s="1" t="s">
        <v>11</v>
      </c>
      <c r="E21">
        <v>18</v>
      </c>
      <c r="F21">
        <v>2</v>
      </c>
      <c r="G21" s="1">
        <v>10987</v>
      </c>
      <c r="H21" s="1"/>
      <c r="I21" s="1"/>
      <c r="J21" s="1"/>
      <c r="K21" s="1"/>
      <c r="L21" s="1"/>
    </row>
    <row r="22" spans="1:12">
      <c r="A22" s="3">
        <v>45668</v>
      </c>
      <c r="B22" s="4">
        <v>11</v>
      </c>
      <c r="C22" t="s">
        <v>12</v>
      </c>
      <c r="D22" s="1" t="s">
        <v>11</v>
      </c>
      <c r="E22">
        <v>18</v>
      </c>
      <c r="F22">
        <v>2</v>
      </c>
      <c r="G22" s="1">
        <v>8979</v>
      </c>
      <c r="H22" s="1"/>
      <c r="I22" s="1"/>
      <c r="J22" s="1"/>
      <c r="K22" s="1"/>
      <c r="L22" s="1"/>
    </row>
    <row r="23" spans="1:12">
      <c r="A23" s="3">
        <v>45668</v>
      </c>
      <c r="B23" s="4">
        <v>11</v>
      </c>
      <c r="C23" t="s">
        <v>17</v>
      </c>
      <c r="D23" s="1" t="s">
        <v>11</v>
      </c>
      <c r="E23">
        <v>22</v>
      </c>
      <c r="F23">
        <v>2</v>
      </c>
      <c r="G23" s="1">
        <v>10985</v>
      </c>
      <c r="H23" s="1"/>
      <c r="I23" s="1"/>
      <c r="J23" s="1"/>
      <c r="K23" s="1"/>
      <c r="L23" s="1"/>
    </row>
    <row r="24" spans="1:12">
      <c r="A24" s="3">
        <v>45669</v>
      </c>
      <c r="B24" s="4">
        <v>12</v>
      </c>
      <c r="C24" t="s">
        <v>12</v>
      </c>
      <c r="D24" s="1" t="s">
        <v>11</v>
      </c>
      <c r="E24">
        <v>16</v>
      </c>
      <c r="F24">
        <v>1</v>
      </c>
      <c r="G24" s="1">
        <v>8978</v>
      </c>
      <c r="H24" s="1"/>
      <c r="I24" s="1"/>
      <c r="J24" s="1"/>
      <c r="K24" s="1"/>
      <c r="L24" s="1"/>
    </row>
    <row r="25" spans="1:12">
      <c r="A25" s="3">
        <v>45669</v>
      </c>
      <c r="B25" s="4">
        <v>12</v>
      </c>
      <c r="C25" t="s">
        <v>17</v>
      </c>
      <c r="D25" s="1" t="s">
        <v>11</v>
      </c>
      <c r="E25">
        <v>18</v>
      </c>
      <c r="F25">
        <v>6</v>
      </c>
      <c r="G25" s="1">
        <v>10979</v>
      </c>
      <c r="H25" s="1"/>
      <c r="I25" s="1"/>
      <c r="J25" s="1"/>
      <c r="K25" s="1"/>
      <c r="L25" s="1"/>
    </row>
    <row r="26" spans="1:12">
      <c r="A26" s="3">
        <v>45670</v>
      </c>
      <c r="B26" s="4">
        <v>13</v>
      </c>
      <c r="C26" t="s">
        <v>12</v>
      </c>
      <c r="D26" s="1" t="s">
        <v>11</v>
      </c>
      <c r="E26">
        <v>25</v>
      </c>
      <c r="F26">
        <v>4</v>
      </c>
      <c r="G26" s="1">
        <v>8974</v>
      </c>
      <c r="H26" s="1"/>
      <c r="I26" s="1"/>
      <c r="J26" s="1"/>
      <c r="K26" s="1"/>
      <c r="L26" s="1"/>
    </row>
    <row r="27" spans="1:12">
      <c r="A27" s="3">
        <v>45670</v>
      </c>
      <c r="B27" s="4">
        <v>13</v>
      </c>
      <c r="C27" t="s">
        <v>17</v>
      </c>
      <c r="D27" s="1" t="s">
        <v>11</v>
      </c>
      <c r="E27">
        <v>17</v>
      </c>
      <c r="F27">
        <v>3</v>
      </c>
      <c r="G27" s="1">
        <v>10976</v>
      </c>
      <c r="H27" s="1"/>
      <c r="I27" s="1"/>
      <c r="J27" s="1"/>
      <c r="K27" s="1"/>
      <c r="L27" s="1"/>
    </row>
    <row r="28" spans="1:12">
      <c r="A28" s="3">
        <v>45671</v>
      </c>
      <c r="B28" s="4">
        <v>14</v>
      </c>
      <c r="C28" t="s">
        <v>12</v>
      </c>
      <c r="D28" s="1" t="s">
        <v>11</v>
      </c>
      <c r="E28">
        <v>29</v>
      </c>
      <c r="F28">
        <v>3</v>
      </c>
      <c r="G28" s="1">
        <v>8971</v>
      </c>
      <c r="H28" s="1"/>
      <c r="I28" s="1"/>
      <c r="J28" s="1"/>
      <c r="K28" s="1"/>
      <c r="L28" s="1"/>
    </row>
    <row r="29" spans="1:12">
      <c r="A29" s="3">
        <v>45671</v>
      </c>
      <c r="B29" s="4">
        <v>14</v>
      </c>
      <c r="C29" t="s">
        <v>17</v>
      </c>
      <c r="D29" s="1" t="s">
        <v>11</v>
      </c>
      <c r="E29">
        <v>20</v>
      </c>
      <c r="F29">
        <v>1</v>
      </c>
      <c r="G29" s="1">
        <v>10975</v>
      </c>
      <c r="H29" s="1"/>
      <c r="I29" s="1"/>
      <c r="J29" s="1"/>
      <c r="K29" s="1"/>
      <c r="L29" s="1"/>
    </row>
    <row r="30" spans="1:12">
      <c r="A30" s="3">
        <v>45672</v>
      </c>
      <c r="B30" s="4">
        <v>15</v>
      </c>
      <c r="C30" t="s">
        <v>12</v>
      </c>
      <c r="D30" s="1" t="s">
        <v>11</v>
      </c>
      <c r="E30">
        <v>18</v>
      </c>
      <c r="F30">
        <v>4</v>
      </c>
      <c r="G30" s="1">
        <v>8967</v>
      </c>
      <c r="H30" s="1"/>
      <c r="I30" s="1"/>
      <c r="J30" s="1"/>
      <c r="K30" s="1"/>
      <c r="L30" s="1"/>
    </row>
    <row r="31" spans="1:12">
      <c r="A31" s="3">
        <v>45672</v>
      </c>
      <c r="B31" s="4">
        <v>15</v>
      </c>
      <c r="C31" t="s">
        <v>17</v>
      </c>
      <c r="D31" s="1" t="s">
        <v>11</v>
      </c>
      <c r="E31">
        <v>24</v>
      </c>
      <c r="F31">
        <v>5</v>
      </c>
      <c r="G31" s="1">
        <v>10970</v>
      </c>
      <c r="H31" s="1"/>
      <c r="I31" s="1"/>
      <c r="J31" s="1"/>
      <c r="K31" s="1"/>
      <c r="L31" s="1"/>
    </row>
    <row r="32" spans="1:12">
      <c r="A32" s="3">
        <v>45673</v>
      </c>
      <c r="B32" s="4">
        <v>16</v>
      </c>
      <c r="C32" t="s">
        <v>12</v>
      </c>
      <c r="D32" s="1" t="s">
        <v>11</v>
      </c>
      <c r="E32">
        <v>34</v>
      </c>
      <c r="F32">
        <v>3</v>
      </c>
      <c r="G32" s="1">
        <v>8964</v>
      </c>
      <c r="H32" s="1"/>
      <c r="I32" s="1">
        <v>16</v>
      </c>
      <c r="J32" s="1" t="s">
        <v>84</v>
      </c>
      <c r="K32" s="1"/>
      <c r="L32" s="1"/>
    </row>
    <row r="33" spans="1:12">
      <c r="A33" s="3">
        <v>45673</v>
      </c>
      <c r="B33" s="4">
        <v>16</v>
      </c>
      <c r="C33" t="s">
        <v>17</v>
      </c>
      <c r="D33" s="1" t="s">
        <v>11</v>
      </c>
      <c r="E33">
        <v>24</v>
      </c>
      <c r="F33">
        <v>1</v>
      </c>
      <c r="G33" s="1">
        <v>10969</v>
      </c>
      <c r="H33" s="1"/>
      <c r="I33" s="1">
        <v>16</v>
      </c>
      <c r="J33" s="1" t="s">
        <v>85</v>
      </c>
      <c r="K33" s="1"/>
      <c r="L33" s="1"/>
    </row>
    <row r="34" spans="1:12">
      <c r="A34" s="3">
        <v>45674</v>
      </c>
      <c r="B34" s="4">
        <v>17</v>
      </c>
      <c r="C34" t="s">
        <v>12</v>
      </c>
      <c r="D34" s="1" t="s">
        <v>11</v>
      </c>
      <c r="E34">
        <v>21</v>
      </c>
      <c r="F34">
        <v>2</v>
      </c>
      <c r="G34" s="1">
        <v>8962</v>
      </c>
      <c r="H34" s="1"/>
      <c r="I34" s="1"/>
      <c r="J34" s="1"/>
      <c r="K34" s="1"/>
      <c r="L34" s="1"/>
    </row>
    <row r="35" spans="1:12">
      <c r="A35" s="3">
        <v>45674</v>
      </c>
      <c r="B35" s="4">
        <v>17</v>
      </c>
      <c r="C35" t="s">
        <v>17</v>
      </c>
      <c r="D35" s="1" t="s">
        <v>11</v>
      </c>
      <c r="E35">
        <v>22</v>
      </c>
      <c r="F35">
        <v>3</v>
      </c>
      <c r="G35" s="1">
        <v>10966</v>
      </c>
      <c r="H35" s="1"/>
      <c r="I35" s="1"/>
      <c r="J35" s="1"/>
      <c r="K35" s="1"/>
      <c r="L35" s="1"/>
    </row>
    <row r="36" spans="1:12">
      <c r="A36" s="3">
        <v>45675</v>
      </c>
      <c r="B36" s="4">
        <v>18</v>
      </c>
      <c r="C36" t="s">
        <v>12</v>
      </c>
      <c r="D36" s="1" t="s">
        <v>11</v>
      </c>
      <c r="E36">
        <v>19</v>
      </c>
      <c r="F36">
        <v>2</v>
      </c>
      <c r="G36" s="1">
        <v>8960</v>
      </c>
      <c r="H36" s="1"/>
      <c r="I36" s="1"/>
      <c r="J36" s="1"/>
      <c r="K36" s="1"/>
      <c r="L36" s="1"/>
    </row>
    <row r="37" spans="1:12">
      <c r="A37" s="3">
        <v>45675</v>
      </c>
      <c r="B37" s="4">
        <v>18</v>
      </c>
      <c r="C37" t="s">
        <v>17</v>
      </c>
      <c r="D37" s="1" t="s">
        <v>11</v>
      </c>
      <c r="E37">
        <v>19</v>
      </c>
      <c r="F37">
        <v>5</v>
      </c>
      <c r="G37" s="1">
        <v>10961</v>
      </c>
      <c r="H37" s="1"/>
      <c r="I37" s="1"/>
      <c r="J37" s="1"/>
      <c r="K37" s="1"/>
      <c r="L37" s="1"/>
    </row>
    <row r="38" spans="1:12">
      <c r="A38" s="3">
        <v>45676</v>
      </c>
      <c r="B38" s="4">
        <v>19</v>
      </c>
      <c r="C38" t="s">
        <v>12</v>
      </c>
      <c r="D38" s="1" t="s">
        <v>11</v>
      </c>
      <c r="E38">
        <v>13</v>
      </c>
      <c r="F38">
        <v>0</v>
      </c>
      <c r="G38" s="1">
        <v>8960</v>
      </c>
      <c r="H38" s="1"/>
      <c r="I38" s="1"/>
      <c r="J38" s="1"/>
      <c r="K38" s="1"/>
      <c r="L38" s="1"/>
    </row>
    <row r="39" spans="1:12">
      <c r="A39" s="3">
        <v>45676</v>
      </c>
      <c r="B39" s="4">
        <v>19</v>
      </c>
      <c r="C39" t="s">
        <v>17</v>
      </c>
      <c r="D39" s="1" t="s">
        <v>11</v>
      </c>
      <c r="E39">
        <v>16</v>
      </c>
      <c r="F39">
        <v>1</v>
      </c>
      <c r="G39" s="1">
        <v>10960</v>
      </c>
      <c r="H39" s="1"/>
      <c r="I39" s="1"/>
      <c r="J39" s="1"/>
      <c r="K39" s="1"/>
      <c r="L39" s="1"/>
    </row>
    <row r="40" spans="1:12">
      <c r="A40" s="3">
        <v>45677</v>
      </c>
      <c r="B40" s="4">
        <v>20</v>
      </c>
      <c r="C40" t="s">
        <v>12</v>
      </c>
      <c r="D40" s="1" t="s">
        <v>11</v>
      </c>
      <c r="E40">
        <v>25</v>
      </c>
      <c r="F40">
        <v>0</v>
      </c>
      <c r="G40" s="1">
        <v>8960</v>
      </c>
      <c r="H40" s="1"/>
      <c r="I40" s="1"/>
      <c r="J40" s="1"/>
      <c r="K40" s="1"/>
      <c r="L40" s="1"/>
    </row>
    <row r="41" spans="1:12">
      <c r="A41" s="3">
        <v>45677</v>
      </c>
      <c r="B41" s="4">
        <v>20</v>
      </c>
      <c r="C41" t="s">
        <v>17</v>
      </c>
      <c r="D41" s="1" t="s">
        <v>11</v>
      </c>
      <c r="E41">
        <v>11</v>
      </c>
      <c r="F41">
        <v>3</v>
      </c>
      <c r="G41" s="1">
        <v>10957</v>
      </c>
      <c r="H41" s="1"/>
      <c r="I41" s="1"/>
      <c r="J41" s="1"/>
      <c r="K41" s="1"/>
      <c r="L41" s="1"/>
    </row>
    <row r="42" spans="1:12">
      <c r="A42" s="3">
        <v>45678</v>
      </c>
      <c r="B42" s="4">
        <v>21</v>
      </c>
      <c r="C42" t="s">
        <v>12</v>
      </c>
      <c r="D42" s="1" t="s">
        <v>18</v>
      </c>
      <c r="E42">
        <v>26</v>
      </c>
      <c r="F42">
        <v>4</v>
      </c>
      <c r="G42" s="1">
        <v>8956</v>
      </c>
      <c r="H42" s="1"/>
      <c r="I42" s="1"/>
      <c r="J42" s="1"/>
      <c r="K42" s="1"/>
      <c r="L42" s="1"/>
    </row>
    <row r="43" spans="1:12">
      <c r="A43" s="3">
        <v>45678</v>
      </c>
      <c r="B43" s="4">
        <v>21</v>
      </c>
      <c r="C43" t="s">
        <v>17</v>
      </c>
      <c r="D43" s="1" t="s">
        <v>18</v>
      </c>
      <c r="E43">
        <v>21</v>
      </c>
      <c r="F43">
        <v>2</v>
      </c>
      <c r="G43" s="1">
        <v>10955</v>
      </c>
      <c r="H43" s="1"/>
      <c r="I43" s="1"/>
      <c r="J43" s="1"/>
      <c r="K43" s="1"/>
      <c r="L43" s="1"/>
    </row>
    <row r="44" spans="1:12">
      <c r="A44" s="3">
        <v>45679</v>
      </c>
      <c r="B44" s="4">
        <v>22</v>
      </c>
      <c r="C44" t="s">
        <v>12</v>
      </c>
      <c r="D44" s="1" t="s">
        <v>18</v>
      </c>
      <c r="E44">
        <v>15</v>
      </c>
      <c r="F44">
        <v>1</v>
      </c>
      <c r="G44" s="1">
        <v>8955</v>
      </c>
      <c r="H44" s="1"/>
      <c r="I44" s="1"/>
      <c r="J44" s="1"/>
      <c r="K44" s="1"/>
      <c r="L44" s="1"/>
    </row>
    <row r="45" spans="1:12">
      <c r="A45" s="3">
        <v>45679</v>
      </c>
      <c r="B45" s="4">
        <v>22</v>
      </c>
      <c r="C45" t="s">
        <v>17</v>
      </c>
      <c r="D45" s="1" t="s">
        <v>18</v>
      </c>
      <c r="E45">
        <v>9</v>
      </c>
      <c r="F45">
        <v>1</v>
      </c>
      <c r="G45" s="1">
        <v>10954</v>
      </c>
      <c r="H45" s="1"/>
      <c r="I45" s="1"/>
      <c r="J45" s="1"/>
      <c r="K45" s="1"/>
      <c r="L45" s="1"/>
    </row>
    <row r="46" spans="1:12">
      <c r="A46" s="3">
        <v>45680</v>
      </c>
      <c r="B46" s="4">
        <v>23</v>
      </c>
      <c r="C46" t="s">
        <v>12</v>
      </c>
      <c r="D46" s="1" t="s">
        <v>18</v>
      </c>
      <c r="E46">
        <v>15</v>
      </c>
      <c r="F46">
        <v>3</v>
      </c>
      <c r="G46" s="1">
        <v>8952</v>
      </c>
      <c r="H46" s="1"/>
      <c r="I46" s="1"/>
      <c r="J46" s="1"/>
      <c r="K46" s="1"/>
      <c r="L46" s="1"/>
    </row>
    <row r="47" spans="1:12">
      <c r="A47" s="3">
        <v>45680</v>
      </c>
      <c r="B47" s="4">
        <v>23</v>
      </c>
      <c r="C47" t="s">
        <v>17</v>
      </c>
      <c r="D47" s="1" t="s">
        <v>18</v>
      </c>
      <c r="E47">
        <v>19</v>
      </c>
      <c r="F47">
        <v>1</v>
      </c>
      <c r="G47" s="1">
        <v>10953</v>
      </c>
      <c r="H47" s="1"/>
      <c r="I47" s="1"/>
      <c r="J47" s="1"/>
      <c r="K47" s="1"/>
      <c r="L47" s="1"/>
    </row>
    <row r="48" spans="1:12">
      <c r="A48" s="3">
        <v>45681</v>
      </c>
      <c r="B48" s="4">
        <v>24</v>
      </c>
      <c r="C48" t="s">
        <v>12</v>
      </c>
      <c r="D48" s="1" t="s">
        <v>18</v>
      </c>
      <c r="E48">
        <v>23</v>
      </c>
      <c r="F48">
        <v>2</v>
      </c>
      <c r="G48" s="1">
        <v>8950</v>
      </c>
      <c r="H48" s="1"/>
      <c r="I48" s="1">
        <v>24</v>
      </c>
      <c r="J48" s="1" t="s">
        <v>86</v>
      </c>
      <c r="K48" s="1"/>
      <c r="L48" s="1"/>
    </row>
    <row r="49" spans="1:12">
      <c r="A49" s="3">
        <v>45681</v>
      </c>
      <c r="B49" s="4">
        <v>24</v>
      </c>
      <c r="C49" t="s">
        <v>17</v>
      </c>
      <c r="D49" s="1" t="s">
        <v>18</v>
      </c>
      <c r="E49">
        <v>14</v>
      </c>
      <c r="F49">
        <v>2</v>
      </c>
      <c r="G49" s="1">
        <v>10951</v>
      </c>
      <c r="H49" s="1"/>
      <c r="I49" s="1">
        <v>24</v>
      </c>
      <c r="J49" s="1" t="s">
        <v>87</v>
      </c>
      <c r="K49" s="1"/>
      <c r="L49" s="1"/>
    </row>
    <row r="50" spans="1:12">
      <c r="A50" s="3">
        <v>45682</v>
      </c>
      <c r="B50" s="4">
        <v>25</v>
      </c>
      <c r="C50" t="s">
        <v>12</v>
      </c>
      <c r="D50" s="1" t="s">
        <v>18</v>
      </c>
      <c r="E50">
        <v>15</v>
      </c>
      <c r="F50">
        <v>0</v>
      </c>
      <c r="G50" s="1">
        <v>8950</v>
      </c>
      <c r="H50" s="1"/>
      <c r="I50" s="1"/>
      <c r="J50" s="1"/>
      <c r="K50" s="1"/>
      <c r="L50" s="1"/>
    </row>
    <row r="51" spans="1:12">
      <c r="A51" s="3">
        <v>45682</v>
      </c>
      <c r="B51" s="4">
        <v>25</v>
      </c>
      <c r="C51" t="s">
        <v>17</v>
      </c>
      <c r="D51" s="1" t="s">
        <v>18</v>
      </c>
      <c r="E51">
        <v>22</v>
      </c>
      <c r="F51">
        <v>4</v>
      </c>
      <c r="G51" s="1">
        <v>10947</v>
      </c>
      <c r="H51" s="1"/>
      <c r="I51" s="1"/>
      <c r="J51" s="1"/>
      <c r="K51" s="1"/>
      <c r="L51" s="1"/>
    </row>
    <row r="52" spans="1:12">
      <c r="A52" s="3">
        <v>45683</v>
      </c>
      <c r="B52" s="4">
        <v>26</v>
      </c>
      <c r="C52" t="s">
        <v>12</v>
      </c>
      <c r="D52" s="1" t="s">
        <v>18</v>
      </c>
      <c r="E52">
        <v>21</v>
      </c>
      <c r="F52">
        <v>4</v>
      </c>
      <c r="G52" s="1">
        <v>8946</v>
      </c>
      <c r="H52" s="1"/>
      <c r="I52" s="1"/>
      <c r="J52" s="1"/>
      <c r="K52" s="1"/>
      <c r="L52" s="1"/>
    </row>
    <row r="53" spans="1:12">
      <c r="A53" s="3">
        <v>45683</v>
      </c>
      <c r="B53" s="4">
        <v>26</v>
      </c>
      <c r="C53" t="s">
        <v>17</v>
      </c>
      <c r="D53" s="1" t="s">
        <v>18</v>
      </c>
      <c r="E53">
        <v>22</v>
      </c>
      <c r="F53">
        <v>0</v>
      </c>
      <c r="G53" s="1">
        <v>10947</v>
      </c>
      <c r="H53" s="1"/>
      <c r="I53" s="1"/>
      <c r="J53" s="1"/>
      <c r="K53" s="1"/>
      <c r="L53" s="1"/>
    </row>
    <row r="54" spans="1:12">
      <c r="A54" s="3">
        <v>45684</v>
      </c>
      <c r="B54" s="4">
        <v>27</v>
      </c>
      <c r="C54" t="s">
        <v>12</v>
      </c>
      <c r="D54" s="1" t="s">
        <v>18</v>
      </c>
      <c r="E54">
        <v>18</v>
      </c>
      <c r="F54">
        <v>2</v>
      </c>
      <c r="G54" s="1">
        <v>8944</v>
      </c>
      <c r="H54" s="1"/>
      <c r="I54" s="1"/>
      <c r="J54" s="1"/>
      <c r="K54" s="1"/>
      <c r="L54" s="1"/>
    </row>
    <row r="55" spans="1:12">
      <c r="A55" s="3">
        <v>45684</v>
      </c>
      <c r="B55" s="4">
        <v>27</v>
      </c>
      <c r="C55" t="s">
        <v>17</v>
      </c>
      <c r="D55" s="1" t="s">
        <v>18</v>
      </c>
      <c r="E55">
        <v>19</v>
      </c>
      <c r="F55">
        <v>3</v>
      </c>
      <c r="G55" s="1">
        <v>10944</v>
      </c>
      <c r="H55" s="1"/>
      <c r="I55" s="1"/>
      <c r="J55" s="1"/>
      <c r="K55" s="1"/>
      <c r="L55" s="1"/>
    </row>
    <row r="56" spans="1:12">
      <c r="A56" s="3">
        <v>45685</v>
      </c>
      <c r="B56" s="4">
        <v>28</v>
      </c>
      <c r="C56" t="s">
        <v>12</v>
      </c>
      <c r="D56" s="1" t="s">
        <v>18</v>
      </c>
      <c r="E56">
        <v>23</v>
      </c>
      <c r="F56">
        <v>2</v>
      </c>
      <c r="G56" s="1">
        <v>8942</v>
      </c>
      <c r="H56" s="1"/>
      <c r="I56" s="1"/>
      <c r="J56" s="1"/>
      <c r="K56" s="1"/>
      <c r="L56" s="1"/>
    </row>
    <row r="57" spans="1:12">
      <c r="A57" s="3">
        <v>45685</v>
      </c>
      <c r="B57" s="4">
        <v>28</v>
      </c>
      <c r="C57" t="s">
        <v>17</v>
      </c>
      <c r="D57" s="1" t="s">
        <v>18</v>
      </c>
      <c r="E57">
        <v>15</v>
      </c>
      <c r="F57">
        <v>2</v>
      </c>
      <c r="G57" s="1">
        <v>10942</v>
      </c>
      <c r="H57" s="1"/>
      <c r="I57" s="1"/>
      <c r="J57" s="1"/>
      <c r="K57" s="1"/>
      <c r="L57" s="1"/>
    </row>
    <row r="58" spans="1:12">
      <c r="A58" s="3">
        <v>45686</v>
      </c>
      <c r="B58" s="4">
        <v>29</v>
      </c>
      <c r="C58" t="s">
        <v>12</v>
      </c>
      <c r="D58" s="1" t="s">
        <v>18</v>
      </c>
      <c r="E58">
        <v>12</v>
      </c>
      <c r="F58">
        <v>0</v>
      </c>
      <c r="G58" s="1">
        <v>8942</v>
      </c>
      <c r="H58" s="1"/>
      <c r="I58" s="1"/>
      <c r="J58" s="1"/>
      <c r="K58" s="1"/>
      <c r="L58" s="1"/>
    </row>
    <row r="59" spans="1:12">
      <c r="A59" s="3">
        <v>45686</v>
      </c>
      <c r="B59" s="4">
        <v>29</v>
      </c>
      <c r="C59" t="s">
        <v>17</v>
      </c>
      <c r="D59" s="1" t="s">
        <v>18</v>
      </c>
      <c r="E59">
        <v>17</v>
      </c>
      <c r="F59">
        <v>0</v>
      </c>
      <c r="G59" s="1">
        <v>10942</v>
      </c>
      <c r="H59" s="1"/>
      <c r="I59" s="1"/>
      <c r="J59" s="1"/>
      <c r="K59" s="1"/>
      <c r="L59" s="1"/>
    </row>
    <row r="60" spans="1:12">
      <c r="A60" s="3">
        <v>45687</v>
      </c>
      <c r="B60" s="4">
        <v>30</v>
      </c>
      <c r="C60" t="s">
        <v>12</v>
      </c>
      <c r="D60" s="1" t="s">
        <v>18</v>
      </c>
      <c r="E60">
        <v>15</v>
      </c>
      <c r="F60">
        <v>0</v>
      </c>
      <c r="G60" s="1">
        <v>8942</v>
      </c>
      <c r="H60" s="1"/>
      <c r="I60" s="1">
        <v>30</v>
      </c>
      <c r="J60" s="1" t="s">
        <v>88</v>
      </c>
      <c r="K60" s="1"/>
      <c r="L60" s="1"/>
    </row>
    <row r="61" spans="1:12">
      <c r="A61" s="3">
        <v>45687</v>
      </c>
      <c r="B61" s="4">
        <v>30</v>
      </c>
      <c r="C61" t="s">
        <v>17</v>
      </c>
      <c r="D61" s="1" t="s">
        <v>18</v>
      </c>
      <c r="E61">
        <v>15</v>
      </c>
      <c r="F61">
        <v>2</v>
      </c>
      <c r="G61" s="1">
        <v>10940</v>
      </c>
      <c r="H61" s="1"/>
      <c r="I61" s="1">
        <v>30</v>
      </c>
      <c r="J61" s="1" t="s">
        <v>89</v>
      </c>
      <c r="K61" s="1"/>
      <c r="L61" s="1"/>
    </row>
    <row r="62" spans="1:12">
      <c r="A62" s="3">
        <v>45688</v>
      </c>
      <c r="B62" s="4">
        <v>31</v>
      </c>
      <c r="C62" t="s">
        <v>12</v>
      </c>
      <c r="D62" s="1" t="s">
        <v>18</v>
      </c>
      <c r="E62">
        <v>17</v>
      </c>
      <c r="F62">
        <v>1</v>
      </c>
      <c r="G62" s="1">
        <v>8941</v>
      </c>
      <c r="H62" s="1"/>
      <c r="I62" s="1"/>
      <c r="J62" s="1"/>
      <c r="K62" s="1"/>
      <c r="L62" s="1"/>
    </row>
    <row r="63" spans="1:12">
      <c r="A63" s="3">
        <v>45688</v>
      </c>
      <c r="B63" s="4">
        <v>31</v>
      </c>
      <c r="C63" t="s">
        <v>17</v>
      </c>
      <c r="D63" s="1" t="s">
        <v>18</v>
      </c>
      <c r="E63">
        <v>22</v>
      </c>
      <c r="F63">
        <v>1</v>
      </c>
      <c r="G63" s="1">
        <v>10939</v>
      </c>
      <c r="H63" s="1"/>
      <c r="I63" s="1"/>
      <c r="J63" s="1"/>
      <c r="K63" s="1"/>
      <c r="L63" s="1"/>
    </row>
    <row r="64" spans="1:12">
      <c r="A64" s="3">
        <v>45689</v>
      </c>
      <c r="B64" s="4">
        <v>32</v>
      </c>
      <c r="C64" t="s">
        <v>12</v>
      </c>
      <c r="D64" s="1" t="s">
        <v>18</v>
      </c>
      <c r="E64">
        <v>14</v>
      </c>
      <c r="F64">
        <v>1</v>
      </c>
      <c r="G64" s="1">
        <v>8940</v>
      </c>
      <c r="H64" s="1"/>
      <c r="I64" s="1"/>
      <c r="J64" s="1"/>
      <c r="K64" s="1"/>
      <c r="L64" s="1"/>
    </row>
    <row r="65" spans="1:12">
      <c r="A65" s="3">
        <v>45689</v>
      </c>
      <c r="B65" s="4">
        <v>32</v>
      </c>
      <c r="C65" t="s">
        <v>17</v>
      </c>
      <c r="D65" s="1" t="s">
        <v>18</v>
      </c>
      <c r="E65">
        <v>16</v>
      </c>
      <c r="F65">
        <v>2</v>
      </c>
      <c r="G65" s="1">
        <v>10937</v>
      </c>
      <c r="H65" s="1"/>
      <c r="I65" s="1"/>
      <c r="J65" s="1"/>
      <c r="K65" s="1"/>
      <c r="L65" s="1"/>
    </row>
    <row r="66" spans="1:12">
      <c r="A66" s="3">
        <v>45690</v>
      </c>
      <c r="B66" s="4">
        <v>33</v>
      </c>
      <c r="C66" t="s">
        <v>12</v>
      </c>
      <c r="D66" s="1" t="s">
        <v>18</v>
      </c>
      <c r="E66">
        <v>19</v>
      </c>
      <c r="F66">
        <v>4</v>
      </c>
      <c r="G66" s="1">
        <v>8936</v>
      </c>
      <c r="H66" s="1"/>
      <c r="I66" s="1"/>
      <c r="J66" s="1"/>
      <c r="K66" s="1"/>
      <c r="L66" s="1"/>
    </row>
    <row r="67" spans="1:12">
      <c r="A67" s="3">
        <v>45690</v>
      </c>
      <c r="B67" s="4">
        <v>33</v>
      </c>
      <c r="C67" t="s">
        <v>17</v>
      </c>
      <c r="D67" s="1" t="s">
        <v>18</v>
      </c>
      <c r="E67">
        <v>14</v>
      </c>
      <c r="F67">
        <v>1</v>
      </c>
      <c r="G67" s="1">
        <v>10936</v>
      </c>
      <c r="H67" s="1"/>
      <c r="I67" s="1"/>
      <c r="J67" s="1"/>
      <c r="K67" s="1"/>
      <c r="L67" s="1"/>
    </row>
    <row r="68" spans="1:12">
      <c r="A68" s="3">
        <v>45691</v>
      </c>
      <c r="B68" s="4">
        <v>34</v>
      </c>
      <c r="C68" t="s">
        <v>12</v>
      </c>
      <c r="D68" s="1" t="s">
        <v>18</v>
      </c>
      <c r="E68">
        <v>24</v>
      </c>
      <c r="F68">
        <v>2</v>
      </c>
      <c r="G68" s="1">
        <v>8934</v>
      </c>
      <c r="H68" s="1"/>
      <c r="I68" s="1"/>
      <c r="J68" s="1"/>
      <c r="K68" s="1"/>
      <c r="L68" s="1"/>
    </row>
    <row r="69" spans="1:12">
      <c r="A69" s="3">
        <v>45691</v>
      </c>
      <c r="B69" s="4">
        <v>34</v>
      </c>
      <c r="C69" t="s">
        <v>17</v>
      </c>
      <c r="D69" s="1" t="s">
        <v>18</v>
      </c>
      <c r="E69">
        <v>15</v>
      </c>
      <c r="F69">
        <v>2</v>
      </c>
      <c r="G69" s="1">
        <v>10934</v>
      </c>
      <c r="H69" s="1"/>
      <c r="I69" s="1"/>
      <c r="J69" s="1"/>
      <c r="K69" s="1"/>
      <c r="L69" s="1"/>
    </row>
    <row r="70" spans="1:12">
      <c r="A70" s="3">
        <v>45692</v>
      </c>
      <c r="B70" s="4">
        <v>35</v>
      </c>
      <c r="C70" t="s">
        <v>12</v>
      </c>
      <c r="D70" s="1" t="s">
        <v>18</v>
      </c>
      <c r="E70">
        <v>26</v>
      </c>
      <c r="F70">
        <v>0</v>
      </c>
      <c r="G70" s="1">
        <v>8934</v>
      </c>
      <c r="H70" s="1"/>
      <c r="I70" s="1"/>
      <c r="J70" s="1"/>
      <c r="K70" s="1"/>
      <c r="L70" s="1"/>
    </row>
    <row r="71" spans="1:12">
      <c r="A71" s="3">
        <v>45692</v>
      </c>
      <c r="B71" s="4">
        <v>35</v>
      </c>
      <c r="C71" t="s">
        <v>17</v>
      </c>
      <c r="D71" s="1" t="s">
        <v>18</v>
      </c>
      <c r="E71">
        <v>18</v>
      </c>
      <c r="F71">
        <v>4</v>
      </c>
      <c r="G71" s="1">
        <v>10930</v>
      </c>
      <c r="H71" s="1"/>
      <c r="I71" s="1"/>
      <c r="J71" s="1"/>
      <c r="K71" s="1"/>
      <c r="L71" s="1"/>
    </row>
    <row r="72" spans="1:12">
      <c r="A72" s="3">
        <v>45693</v>
      </c>
      <c r="B72" s="4">
        <v>36</v>
      </c>
      <c r="C72" t="s">
        <v>12</v>
      </c>
      <c r="D72" s="1" t="s">
        <v>18</v>
      </c>
      <c r="E72">
        <v>17</v>
      </c>
      <c r="F72">
        <v>2</v>
      </c>
      <c r="G72" s="1">
        <v>8932</v>
      </c>
      <c r="H72" s="1"/>
      <c r="I72" s="1">
        <v>36</v>
      </c>
      <c r="J72" s="1" t="s">
        <v>90</v>
      </c>
      <c r="K72" s="1"/>
      <c r="L72" s="1"/>
    </row>
    <row r="73" spans="1:12">
      <c r="A73" s="3">
        <v>45693</v>
      </c>
      <c r="B73" s="4">
        <v>36</v>
      </c>
      <c r="C73" t="s">
        <v>17</v>
      </c>
      <c r="D73" s="1" t="s">
        <v>18</v>
      </c>
      <c r="E73">
        <v>15</v>
      </c>
      <c r="F73">
        <v>0</v>
      </c>
      <c r="G73" s="1">
        <v>10930</v>
      </c>
      <c r="H73" s="1"/>
      <c r="I73" s="1">
        <v>36</v>
      </c>
      <c r="J73" s="1" t="s">
        <v>91</v>
      </c>
      <c r="K73" s="1"/>
      <c r="L73" s="1"/>
    </row>
    <row r="74" spans="1:12">
      <c r="A74" s="3">
        <v>45694</v>
      </c>
      <c r="B74" s="4">
        <v>37</v>
      </c>
      <c r="C74" t="s">
        <v>12</v>
      </c>
      <c r="D74" s="1" t="s">
        <v>19</v>
      </c>
      <c r="E74">
        <v>16</v>
      </c>
      <c r="F74">
        <v>3</v>
      </c>
      <c r="G74" s="1">
        <v>8929</v>
      </c>
      <c r="H74" s="1"/>
      <c r="I74" s="1"/>
      <c r="J74" s="1"/>
      <c r="K74" s="1"/>
      <c r="L74" s="1"/>
    </row>
    <row r="75" spans="1:12">
      <c r="A75" s="3">
        <v>45694</v>
      </c>
      <c r="B75" s="4">
        <v>37</v>
      </c>
      <c r="C75" t="s">
        <v>17</v>
      </c>
      <c r="D75" s="1" t="s">
        <v>19</v>
      </c>
      <c r="E75">
        <v>18</v>
      </c>
      <c r="F75">
        <v>2</v>
      </c>
      <c r="G75" s="1">
        <v>10928</v>
      </c>
      <c r="H75" s="1"/>
      <c r="I75" s="1"/>
      <c r="J75" s="1"/>
      <c r="K75" s="1"/>
      <c r="L75" s="1"/>
    </row>
    <row r="76" spans="1:12">
      <c r="A76" s="3">
        <v>45695</v>
      </c>
      <c r="B76" s="4">
        <v>38</v>
      </c>
      <c r="C76" t="s">
        <v>12</v>
      </c>
      <c r="D76" s="1" t="s">
        <v>19</v>
      </c>
      <c r="E76">
        <v>12</v>
      </c>
      <c r="F76">
        <v>0</v>
      </c>
      <c r="G76" s="1">
        <v>8929</v>
      </c>
      <c r="H76" s="1"/>
      <c r="I76" s="1"/>
      <c r="J76" s="1"/>
      <c r="K76" s="1"/>
      <c r="L76" s="1"/>
    </row>
    <row r="77" spans="1:12">
      <c r="A77" s="3">
        <v>45695</v>
      </c>
      <c r="B77" s="4">
        <v>38</v>
      </c>
      <c r="C77" t="s">
        <v>17</v>
      </c>
      <c r="D77" s="1" t="s">
        <v>19</v>
      </c>
      <c r="E77">
        <v>9</v>
      </c>
      <c r="F77">
        <v>0</v>
      </c>
      <c r="G77" s="1">
        <v>10928</v>
      </c>
      <c r="H77" s="1"/>
      <c r="I77" s="1"/>
      <c r="J77" s="1"/>
      <c r="K77" s="1"/>
      <c r="L77" s="1"/>
    </row>
    <row r="78" spans="1:12">
      <c r="A78" s="3">
        <v>45696</v>
      </c>
      <c r="B78" s="4">
        <v>39</v>
      </c>
      <c r="C78" t="s">
        <v>12</v>
      </c>
      <c r="D78" s="1" t="s">
        <v>19</v>
      </c>
      <c r="E78">
        <v>18</v>
      </c>
      <c r="F78">
        <v>0</v>
      </c>
      <c r="G78" s="1">
        <v>8929</v>
      </c>
      <c r="H78" s="1"/>
      <c r="I78" s="1"/>
      <c r="J78" s="1"/>
      <c r="K78" s="1"/>
      <c r="L78" s="1"/>
    </row>
    <row r="79" spans="1:12">
      <c r="A79" s="3">
        <v>45696</v>
      </c>
      <c r="B79" s="4">
        <v>39</v>
      </c>
      <c r="C79" t="s">
        <v>17</v>
      </c>
      <c r="D79" s="1" t="s">
        <v>19</v>
      </c>
      <c r="E79">
        <v>23</v>
      </c>
      <c r="F79">
        <v>3</v>
      </c>
      <c r="G79" s="1">
        <v>10925</v>
      </c>
      <c r="H79" s="1"/>
      <c r="I79" s="1"/>
      <c r="J79" s="1"/>
      <c r="K79" s="1"/>
      <c r="L79" s="1"/>
    </row>
    <row r="80" spans="1:12">
      <c r="A80" s="3">
        <v>45697</v>
      </c>
      <c r="B80" s="4">
        <v>40</v>
      </c>
      <c r="C80" t="s">
        <v>12</v>
      </c>
      <c r="D80" s="1" t="s">
        <v>19</v>
      </c>
      <c r="E80">
        <v>20</v>
      </c>
      <c r="F80">
        <v>3</v>
      </c>
      <c r="G80" s="1">
        <v>8926</v>
      </c>
      <c r="H80" s="1"/>
      <c r="I80" s="1"/>
      <c r="J80" s="1"/>
      <c r="K80" s="1"/>
      <c r="L80" s="1"/>
    </row>
    <row r="81" spans="1:12">
      <c r="A81" s="3">
        <v>45697</v>
      </c>
      <c r="B81" s="4">
        <v>40</v>
      </c>
      <c r="C81" t="s">
        <v>17</v>
      </c>
      <c r="D81" s="1" t="s">
        <v>19</v>
      </c>
      <c r="E81">
        <v>20</v>
      </c>
      <c r="F81">
        <v>1</v>
      </c>
      <c r="G81" s="1">
        <v>10924</v>
      </c>
      <c r="H81" s="1"/>
      <c r="I81" s="1"/>
      <c r="J81" s="1"/>
      <c r="K81" s="1"/>
      <c r="L81" s="1"/>
    </row>
    <row r="82" spans="1:12">
      <c r="A82" s="3">
        <v>45698</v>
      </c>
      <c r="B82" s="4">
        <v>41</v>
      </c>
      <c r="C82" t="s">
        <v>12</v>
      </c>
      <c r="D82" s="1" t="s">
        <v>19</v>
      </c>
      <c r="E82">
        <v>14</v>
      </c>
      <c r="F82">
        <v>2</v>
      </c>
      <c r="G82" s="1">
        <v>8924</v>
      </c>
      <c r="H82" s="1"/>
      <c r="I82" s="1"/>
      <c r="J82" s="1"/>
      <c r="K82" s="1"/>
      <c r="L82" s="1"/>
    </row>
    <row r="83" spans="1:12">
      <c r="A83" s="3">
        <v>45698</v>
      </c>
      <c r="B83" s="4">
        <v>41</v>
      </c>
      <c r="C83" t="s">
        <v>17</v>
      </c>
      <c r="D83" s="1" t="s">
        <v>19</v>
      </c>
      <c r="E83">
        <v>12</v>
      </c>
      <c r="F83">
        <v>1</v>
      </c>
      <c r="G83" s="1">
        <v>10923</v>
      </c>
      <c r="H83" s="1"/>
      <c r="I83" s="1"/>
      <c r="J83" s="1"/>
      <c r="K83" s="1"/>
      <c r="L83" s="1"/>
    </row>
    <row r="84" spans="1:12">
      <c r="A84" s="3">
        <v>45699</v>
      </c>
      <c r="B84" s="4">
        <v>42</v>
      </c>
      <c r="C84" t="s">
        <v>12</v>
      </c>
      <c r="D84" s="1" t="s">
        <v>19</v>
      </c>
      <c r="E84">
        <v>23</v>
      </c>
      <c r="F84">
        <v>2</v>
      </c>
      <c r="G84" s="1">
        <v>8922</v>
      </c>
      <c r="H84" s="1"/>
      <c r="I84" s="1"/>
      <c r="J84" s="1"/>
      <c r="K84" s="1"/>
      <c r="L84" s="1"/>
    </row>
    <row r="85" spans="1:12">
      <c r="A85" s="3">
        <v>45699</v>
      </c>
      <c r="B85" s="4">
        <v>42</v>
      </c>
      <c r="C85" t="s">
        <v>17</v>
      </c>
      <c r="D85" s="1" t="s">
        <v>19</v>
      </c>
      <c r="E85">
        <v>24</v>
      </c>
      <c r="F85">
        <v>5</v>
      </c>
      <c r="G85" s="1">
        <v>10918</v>
      </c>
      <c r="H85" s="1"/>
      <c r="I85" s="1"/>
      <c r="J85" s="1"/>
      <c r="K85" s="1"/>
      <c r="L8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4E901-836F-8346-968F-A29F42914B2E}">
  <dimension ref="A1:G3"/>
  <sheetViews>
    <sheetView zoomScale="150" workbookViewId="0"/>
  </sheetViews>
  <sheetFormatPr baseColWidth="10" defaultColWidth="8.83203125" defaultRowHeight="15"/>
  <cols>
    <col min="1" max="1" width="18.5" style="1" customWidth="1"/>
    <col min="2" max="2" width="16.1640625" style="1" customWidth="1"/>
    <col min="3" max="3" width="17" style="1" customWidth="1"/>
    <col min="4" max="4" width="16" style="1" customWidth="1"/>
    <col min="5" max="5" width="12.6640625" style="1" customWidth="1"/>
    <col min="6" max="6" width="12.5" style="1" customWidth="1"/>
    <col min="7" max="7" width="22.83203125" style="1" customWidth="1"/>
    <col min="8" max="16384" width="8.83203125" style="1"/>
  </cols>
  <sheetData>
    <row r="1" spans="1:7" ht="16.75" customHeight="1">
      <c r="A1" s="1" t="s">
        <v>7</v>
      </c>
      <c r="B1" s="1" t="s">
        <v>10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14</v>
      </c>
    </row>
    <row r="2" spans="1:7">
      <c r="A2" s="14">
        <v>45699</v>
      </c>
      <c r="B2" s="1">
        <v>42</v>
      </c>
      <c r="C2" s="1">
        <v>2</v>
      </c>
      <c r="D2" s="1">
        <v>6</v>
      </c>
      <c r="E2" s="1">
        <v>62</v>
      </c>
      <c r="F2" s="1">
        <v>5.1666666666666696</v>
      </c>
    </row>
    <row r="3" spans="1:7">
      <c r="A3" s="1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1</xdr:row>
                    <xdr:rowOff>0</xdr:rowOff>
                  </from>
                  <to>
                    <xdr:col>15</xdr:col>
                    <xdr:colOff>12700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_Click">
                <anchor moveWithCells="1" sizeWithCells="1">
                  <from>
                    <xdr:col>13</xdr:col>
                    <xdr:colOff>12700</xdr:colOff>
                    <xdr:row>1</xdr:row>
                    <xdr:rowOff>0</xdr:rowOff>
                  </from>
                  <to>
                    <xdr:col>15</xdr:col>
                    <xdr:colOff>12700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เอกสาร" ma:contentTypeID="0x0101002384EA759443484FA8D957A04A2F61E1" ma:contentTypeVersion="13" ma:contentTypeDescription="สร้างเอกสารใหม่" ma:contentTypeScope="" ma:versionID="5dd50e9631b8a4475d0cecf18c7e97c9">
  <xsd:schema xmlns:xsd="http://www.w3.org/2001/XMLSchema" xmlns:xs="http://www.w3.org/2001/XMLSchema" xmlns:p="http://schemas.microsoft.com/office/2006/metadata/properties" xmlns:ns3="c8575f2d-5199-4be3-bb70-005482b9c2ba" xmlns:ns4="7b184188-639d-46c8-b3f7-e5df4024e678" targetNamespace="http://schemas.microsoft.com/office/2006/metadata/properties" ma:root="true" ma:fieldsID="8878067d480cf31bacff0d5ad71c0599" ns3:_="" ns4:_="">
    <xsd:import namespace="c8575f2d-5199-4be3-bb70-005482b9c2ba"/>
    <xsd:import namespace="7b184188-639d-46c8-b3f7-e5df4024e678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575f2d-5199-4be3-bb70-005482b9c2ba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184188-639d-46c8-b3f7-e5df4024e678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แชร์กับ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แชร์พร้อมกับรายละเอียด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การแชร์แฮชคำแนะนำ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ชนิดเนื้อหา"/>
        <xsd:element ref="dc:title" minOccurs="0" maxOccurs="1" ma:index="4" ma:displayName="ชื่อเรื่อง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8575f2d-5199-4be3-bb70-005482b9c2ba" xsi:nil="true"/>
  </documentManagement>
</p:properties>
</file>

<file path=customXml/itemProps1.xml><?xml version="1.0" encoding="utf-8"?>
<ds:datastoreItem xmlns:ds="http://schemas.openxmlformats.org/officeDocument/2006/customXml" ds:itemID="{C1E9BD84-A219-49C3-B7F7-B1EA63F8A4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D2DAB1-A495-4280-AC51-0EB26FCE7F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575f2d-5199-4be3-bb70-005482b9c2ba"/>
    <ds:schemaRef ds:uri="7b184188-639d-46c8-b3f7-e5df4024e6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086B94-1C60-41F8-93A5-82E12F9FC08C}">
  <ds:schemaRefs>
    <ds:schemaRef ds:uri="http://schemas.microsoft.com/office/2006/metadata/properties"/>
    <ds:schemaRef ds:uri="http://purl.org/dc/dcmitype/"/>
    <ds:schemaRef ds:uri="http://purl.org/dc/elements/1.1/"/>
    <ds:schemaRef ds:uri="c8575f2d-5199-4be3-bb70-005482b9c2ba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7b184188-639d-46c8-b3f7-e5df4024e678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DAILY</vt:lpstr>
      <vt:lpstr>HARVEST</vt:lpstr>
      <vt:lpstr>Calculated</vt:lpstr>
      <vt:lpstr>PARAMS</vt:lpstr>
      <vt:lpstr>DailyLog (1)</vt:lpstr>
      <vt:lpstr>HVLog 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NAPHAT NACHAN</dc:creator>
  <cp:lastModifiedBy>NAPHAT NACHAN</cp:lastModifiedBy>
  <dcterms:created xsi:type="dcterms:W3CDTF">2025-08-29T16:22:29Z</dcterms:created>
  <dcterms:modified xsi:type="dcterms:W3CDTF">2025-09-28T17:38:18Z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0x0101002384EA759443484FA8D957A04A2F61E1</vt:lpwstr>
  </property>
</Properties>
</file>